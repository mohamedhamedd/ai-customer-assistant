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<sst xmlns="http://schemas.openxmlformats.org/spreadsheetml/2006/main" count="657" uniqueCount="411">
  <si>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</si>
  <si>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</si>
  <si>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</si>
  <si>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</si>
  <si>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</si>
  <si>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</si>
  <si>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</si>
  <si>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</si>
  <si>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</si>
  <si>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</si>
  <si>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</si>
  <si>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</si>
  <si>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</si>
  <si>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</si>
  <si>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</si>
  <si>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</si>
  <si>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</si>
  <si>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</si>
  <si>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</si>
  <si>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</si>
  <si>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</si>
  <si>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</si>
  <si>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</si>
  <si>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</si>
  <si>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</si>
  <si>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</si>
  <si>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</si>
  <si>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</si>
  <si>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</si>
  <si>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</si>
  <si>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</si>
  <si>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</si>
  <si>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</si>
  <si>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</si>
  <si>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</si>
  <si>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</si>
  <si>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</si>
  <si>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</si>
  <si>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</si>
  <si>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</si>
  <si>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</si>
  <si>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</si>
  <si>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</si>
  <si>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</si>
  <si>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</si>
  <si>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</si>
  <si>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</si>
  <si>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</si>
  <si>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</si>
  <si>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</si>
  <si>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</si>
  <si>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</si>
  <si>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</si>
  <si>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</si>
  <si>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</si>
  <si>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</si>
  <si>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</si>
  <si>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</si>
  <si>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</si>
  <si>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</si>
  <si>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</si>
  <si>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</si>
  <si>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</si>
  <si>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</si>
  <si>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</si>
  <si>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</si>
  <si>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</si>
  <si>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</si>
  <si>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</si>
  <si>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</si>
  <si>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</si>
  <si>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</si>
  <si>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</si>
  <si>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</si>
  <si>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</si>
  <si>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</si>
  <si>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</si>
  <si>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</si>
  <si>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</si>
  <si>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</si>
  <si>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</si>
  <si>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</si>
  <si>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</si>
  <si>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</si>
  <si>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</si>
  <si>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</si>
  <si>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</si>
  <si>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</si>
  <si>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</si>
  <si>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</si>
  <si>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</si>
  <si>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</si>
  <si>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</si>
  <si>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</si>
  <si>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</si>
  <si>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</si>
  <si>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</si>
  <si>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</si>
  <si>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</si>
  <si>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</si>
  <si>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</si>
  <si>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</si>
  <si>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</si>
  <si>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</si>
  <si>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</si>
  <si>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</si>
  <si>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</si>
  <si>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</si>
  <si>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</si>
  <si>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</si>
  <si>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</si>
  <si>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</si>
  <si>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</si>
  <si>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</si>
  <si>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</si>
  <si>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</si>
  <si>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</si>
  <si>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</si>
  <si>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</si>
  <si>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</si>
  <si>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</si>
  <si>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</si>
  <si>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</si>
  <si>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</si>
  <si>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</si>
  <si>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</si>
  <si>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</si>
  <si>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</si>
  <si>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</si>
  <si>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</si>
  <si>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</si>
  <si>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</si>
  <si>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</si>
  <si>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</si>
  <si>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</si>
  <si>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</si>
  <si>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</si>
  <si>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</si>
  <si>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</si>
  <si>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</si>
  <si>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</si>
  <si>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</si>
  <si>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</si>
  <si>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</si>
  <si>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</si>
  <si>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</si>
  <si>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</si>
  <si>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</si>
  <si>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</si>
  <si>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</si>
  <si>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</si>
  <si>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Merged: PR #12. Admin URLs carry the business (/admin/[slug]). Synchronous ingestion via the existing pipeline. Review round: capped upload body, test search = assistant's search, Replace for same-title uploads, interrupted uploads, plain error messages.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</si>
  <si>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</si>
  <si>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</si>
  <si>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</si>
  <si>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</si>
  <si>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</si>
  <si>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</si>
  <si>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</si>
  <si>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Merged: PR #13. Overview, leads (search, drawer), consultations (upcoming first, optimistic status change). Times in the business timezone with per-row zone labels. Admin sign-in was built then removed on request: the admin stays public (A1, 'Demo mode · no login').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</si>
  <si>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</si>
  <si>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</si>
  <si>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</si>
  <si>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</si>
  <si>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</si>
  <si>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</si>
  <si>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</si>
  <si>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</si>
  <si>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Not started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</si>
  <si>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</si>
  <si>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</si>
  <si>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</si>
  <si>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</si>
  <si>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 (chat messages, voice call starts, admin uploads)
- Voice: hang up calls server-side after a maximum length (calls.hangup with the stored OpenAI call id)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</si>
  <si>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</si>
  <si>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</si>
  <si>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</si>
  <si>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Merged: PR #14. Postgres rate limits in tiers (visitor, then business ceiling; per-IP via TRUSTED_IP_HEADER), SIMULATE_DB_FAILURE, voice call cap with server hang-up, structured tool logs, prompt fixes from live probes (off-topic, yes/no conditions, over-refusal). README failure-test checklist.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</si>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</sst>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12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23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0.779661016949153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39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2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1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29</v>
      </c>
      <c r="N14" s="35" t="n">
        <f aca="false">COUNTIF('Story Coverage'!$E:$E,A14)</f>
        <v>4</v>
      </c>
      <c r="O14" s="38" t="s">
        <v>151</v>
      </c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29</v>
      </c>
      <c r="N15" s="35" t="n">
        <f aca="false">COUNTIF('Story Coverage'!$E:$E,A15)</f>
        <v>3</v>
      </c>
      <c r="O15" s="38" t="s">
        <v>159</v>
      </c>
    </row>
    <row r="16" customFormat="false" ht="70.5" hidden="false" customHeight="true" outlineLevel="0" collapsed="false">
      <c r="A16" s="32" t="s">
        <v>160</v>
      </c>
      <c r="B16" s="33" t="s">
        <v>161</v>
      </c>
      <c r="C16" s="33" t="s">
        <v>162</v>
      </c>
      <c r="D16" s="43" t="s">
        <v>35</v>
      </c>
      <c r="E16" s="35" t="s">
        <v>163</v>
      </c>
      <c r="F16" s="33" t="s">
        <v>164</v>
      </c>
      <c r="G16" s="33" t="s">
        <v>165</v>
      </c>
      <c r="H16" s="33" t="s">
        <v>166</v>
      </c>
      <c r="I16" s="33" t="s">
        <v>167</v>
      </c>
      <c r="J16" s="35" t="s">
        <v>119</v>
      </c>
      <c r="K16" s="36" t="n">
        <v>1.5</v>
      </c>
      <c r="L16" s="35" t="s">
        <v>22</v>
      </c>
      <c r="M16" s="37" t="s">
        <v>168</v>
      </c>
      <c r="N16" s="35" t="n">
        <f aca="false">COUNTIF('Story Coverage'!$E:$E,A16)</f>
        <v>3</v>
      </c>
      <c r="O16" s="38"/>
    </row>
    <row r="17" customFormat="false" ht="109.5" hidden="false" customHeight="true" outlineLevel="0" collapsed="false">
      <c r="A17" s="32" t="s">
        <v>169</v>
      </c>
      <c r="B17" s="33" t="s">
        <v>170</v>
      </c>
      <c r="C17" s="33" t="s">
        <v>171</v>
      </c>
      <c r="D17" s="44" t="s">
        <v>36</v>
      </c>
      <c r="E17" s="35" t="s">
        <v>72</v>
      </c>
      <c r="F17" s="33" t="s">
        <v>172</v>
      </c>
      <c r="G17" s="33" t="s">
        <v>173</v>
      </c>
      <c r="H17" s="33" t="s">
        <v>174</v>
      </c>
      <c r="I17" s="33" t="s">
        <v>175</v>
      </c>
      <c r="J17" s="35" t="s">
        <v>176</v>
      </c>
      <c r="K17" s="36" t="n">
        <v>1.5</v>
      </c>
      <c r="L17" s="35" t="s">
        <v>21</v>
      </c>
      <c r="M17" s="37" t="s">
        <v>29</v>
      </c>
      <c r="N17" s="35" t="n">
        <f aca="false">COUNTIF('Story Coverage'!$E:$E,A17)</f>
        <v>1</v>
      </c>
      <c r="O17" s="38" t="s">
        <v>177</v>
      </c>
    </row>
    <row r="18" customFormat="false" ht="84" hidden="false" customHeight="true" outlineLevel="0" collapsed="false">
      <c r="A18" s="32" t="s">
        <v>178</v>
      </c>
      <c r="B18" s="33" t="s">
        <v>179</v>
      </c>
      <c r="C18" s="33" t="s">
        <v>180</v>
      </c>
      <c r="D18" s="45" t="s">
        <v>37</v>
      </c>
      <c r="E18" s="35" t="s">
        <v>72</v>
      </c>
      <c r="F18" s="33" t="s">
        <v>181</v>
      </c>
      <c r="G18" s="33" t="s">
        <v>182</v>
      </c>
      <c r="H18" s="33" t="s">
        <v>183</v>
      </c>
      <c r="I18" s="33" t="s">
        <v>184</v>
      </c>
      <c r="J18" s="35" t="s">
        <v>185</v>
      </c>
      <c r="K18" s="36" t="n">
        <v>2</v>
      </c>
      <c r="L18" s="35" t="s">
        <v>21</v>
      </c>
      <c r="M18" s="37" t="s">
        <v>168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186</v>
      </c>
      <c r="B19" s="33" t="s">
        <v>187</v>
      </c>
      <c r="C19" s="33" t="s">
        <v>188</v>
      </c>
      <c r="D19" s="43" t="s">
        <v>35</v>
      </c>
      <c r="E19" s="35" t="s">
        <v>163</v>
      </c>
      <c r="F19" s="33" t="s">
        <v>189</v>
      </c>
      <c r="G19" s="33" t="s">
        <v>190</v>
      </c>
      <c r="H19" s="33" t="s">
        <v>191</v>
      </c>
      <c r="I19" s="33" t="s">
        <v>192</v>
      </c>
      <c r="J19" s="35" t="s">
        <v>193</v>
      </c>
      <c r="K19" s="36" t="n">
        <v>3</v>
      </c>
      <c r="L19" s="35" t="s">
        <v>21</v>
      </c>
      <c r="M19" s="37" t="s">
        <v>168</v>
      </c>
      <c r="N19" s="35" t="n">
        <f aca="false">COUNTIF('Story Coverage'!$E:$E,A19)</f>
        <v>2</v>
      </c>
      <c r="O19" s="38" t="s">
        <v>194</v>
      </c>
    </row>
    <row r="20" customFormat="false" ht="15" hidden="false" customHeight="true" outlineLevel="0" collapsed="false">
      <c r="A20" s="46" t="s">
        <v>195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196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197</v>
      </c>
    </row>
    <row r="2" customFormat="false" ht="15" hidden="false" customHeight="true" outlineLevel="0" collapsed="false">
      <c r="A2" s="3" t="s">
        <v>198</v>
      </c>
    </row>
    <row r="4" customFormat="false" ht="30" hidden="false" customHeight="true" outlineLevel="0" collapsed="false">
      <c r="A4" s="31" t="s">
        <v>199</v>
      </c>
      <c r="B4" s="31" t="s">
        <v>200</v>
      </c>
      <c r="C4" s="31" t="s">
        <v>201</v>
      </c>
      <c r="D4" s="31" t="s">
        <v>58</v>
      </c>
      <c r="E4" s="31" t="s">
        <v>202</v>
      </c>
      <c r="F4" s="31" t="s">
        <v>203</v>
      </c>
      <c r="G4" s="31" t="s">
        <v>204</v>
      </c>
      <c r="H4" s="31" t="s">
        <v>205</v>
      </c>
    </row>
    <row r="5" customFormat="false" ht="15" hidden="false" customHeight="true" outlineLevel="0" collapsed="false">
      <c r="A5" s="32" t="s">
        <v>206</v>
      </c>
      <c r="B5" s="33" t="s">
        <v>207</v>
      </c>
      <c r="C5" s="33" t="s">
        <v>208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209</v>
      </c>
      <c r="B6" s="33" t="s">
        <v>207</v>
      </c>
      <c r="C6" s="33" t="s">
        <v>210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211</v>
      </c>
      <c r="B7" s="33" t="s">
        <v>207</v>
      </c>
      <c r="C7" s="33" t="s">
        <v>212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213</v>
      </c>
      <c r="B8" s="33" t="s">
        <v>207</v>
      </c>
      <c r="C8" s="33" t="s">
        <v>214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215</v>
      </c>
      <c r="B9" s="33" t="s">
        <v>207</v>
      </c>
      <c r="C9" s="33" t="s">
        <v>216</v>
      </c>
      <c r="D9" s="35" t="s">
        <v>217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218</v>
      </c>
      <c r="B10" s="33" t="s">
        <v>219</v>
      </c>
      <c r="C10" s="33" t="s">
        <v>220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Done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221</v>
      </c>
      <c r="B11" s="33" t="s">
        <v>219</v>
      </c>
      <c r="C11" s="33" t="s">
        <v>222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Done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223</v>
      </c>
      <c r="B12" s="33" t="s">
        <v>219</v>
      </c>
      <c r="C12" s="33" t="s">
        <v>224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Done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225</v>
      </c>
      <c r="B13" s="33" t="s">
        <v>219</v>
      </c>
      <c r="C13" s="33" t="s">
        <v>226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Done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227</v>
      </c>
      <c r="B14" s="33" t="s">
        <v>219</v>
      </c>
      <c r="C14" s="33" t="s">
        <v>228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Done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229</v>
      </c>
      <c r="B15" s="33" t="s">
        <v>219</v>
      </c>
      <c r="C15" s="33" t="s">
        <v>230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Done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231</v>
      </c>
      <c r="B16" s="33" t="s">
        <v>232</v>
      </c>
      <c r="C16" s="33" t="s">
        <v>233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234</v>
      </c>
      <c r="B17" s="33" t="s">
        <v>232</v>
      </c>
      <c r="C17" s="33" t="s">
        <v>235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236</v>
      </c>
      <c r="B18" s="33" t="s">
        <v>232</v>
      </c>
      <c r="C18" s="33" t="s">
        <v>237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238</v>
      </c>
      <c r="B19" s="33" t="s">
        <v>232</v>
      </c>
      <c r="C19" s="33" t="s">
        <v>239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240</v>
      </c>
      <c r="B20" s="33" t="s">
        <v>241</v>
      </c>
      <c r="C20" s="33" t="s">
        <v>242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243</v>
      </c>
      <c r="B21" s="33" t="s">
        <v>241</v>
      </c>
      <c r="C21" s="33" t="s">
        <v>244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245</v>
      </c>
      <c r="B22" s="33" t="s">
        <v>241</v>
      </c>
      <c r="C22" s="33" t="s">
        <v>246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247</v>
      </c>
      <c r="B23" s="33" t="s">
        <v>248</v>
      </c>
      <c r="C23" s="33" t="s">
        <v>249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250</v>
      </c>
      <c r="B24" s="33" t="s">
        <v>248</v>
      </c>
      <c r="C24" s="33" t="s">
        <v>251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252</v>
      </c>
      <c r="B25" s="33" t="s">
        <v>248</v>
      </c>
      <c r="C25" s="33" t="s">
        <v>253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254</v>
      </c>
      <c r="B26" s="33" t="s">
        <v>255</v>
      </c>
      <c r="C26" s="33" t="s">
        <v>256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257</v>
      </c>
      <c r="B27" s="33" t="s">
        <v>255</v>
      </c>
      <c r="C27" s="33" t="s">
        <v>258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259</v>
      </c>
      <c r="B28" s="33" t="s">
        <v>255</v>
      </c>
      <c r="C28" s="33" t="s">
        <v>260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261</v>
      </c>
      <c r="B29" s="33" t="s">
        <v>255</v>
      </c>
      <c r="C29" s="33" t="s">
        <v>262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Done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263</v>
      </c>
      <c r="B30" s="33" t="s">
        <v>264</v>
      </c>
      <c r="C30" s="33" t="s">
        <v>265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Done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266</v>
      </c>
      <c r="B31" s="33" t="s">
        <v>264</v>
      </c>
      <c r="C31" s="33" t="s">
        <v>267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268</v>
      </c>
      <c r="B32" s="33" t="s">
        <v>264</v>
      </c>
      <c r="C32" s="33" t="s">
        <v>269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Done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270</v>
      </c>
      <c r="B33" s="33" t="s">
        <v>264</v>
      </c>
      <c r="C33" s="33" t="s">
        <v>271</v>
      </c>
      <c r="D33" s="35" t="s">
        <v>217</v>
      </c>
      <c r="E33" s="35" t="s">
        <v>144</v>
      </c>
      <c r="F33" s="35"/>
      <c r="G33" s="49" t="str">
        <f aca="false">IFERROR(INDEX('PR Plan'!$M$5:$M$19,MATCH(E33,'PR Plan'!$A$5:$A$19,0)),"-")</f>
        <v>Done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272</v>
      </c>
      <c r="B34" s="33" t="s">
        <v>264</v>
      </c>
      <c r="C34" s="33" t="s">
        <v>273</v>
      </c>
      <c r="D34" s="35" t="s">
        <v>217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Done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274</v>
      </c>
      <c r="B35" s="33" t="s">
        <v>275</v>
      </c>
      <c r="C35" s="33" t="s">
        <v>276</v>
      </c>
      <c r="D35" s="35" t="s">
        <v>72</v>
      </c>
      <c r="E35" s="35" t="s">
        <v>152</v>
      </c>
      <c r="F35" s="35"/>
      <c r="G35" s="49" t="str">
        <f aca="false">IFERROR(INDEX('PR Plan'!$M$5:$M$19,MATCH(E35,'PR Plan'!$A$5:$A$19,0)),"-")</f>
        <v>Done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277</v>
      </c>
      <c r="B36" s="33" t="s">
        <v>275</v>
      </c>
      <c r="C36" s="33" t="s">
        <v>278</v>
      </c>
      <c r="D36" s="35" t="s">
        <v>72</v>
      </c>
      <c r="E36" s="35" t="s">
        <v>152</v>
      </c>
      <c r="F36" s="35"/>
      <c r="G36" s="49" t="str">
        <f aca="false">IFERROR(INDEX('PR Plan'!$M$5:$M$19,MATCH(E36,'PR Plan'!$A$5:$A$19,0)),"-")</f>
        <v>Done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279</v>
      </c>
      <c r="B37" s="33" t="s">
        <v>275</v>
      </c>
      <c r="C37" s="33" t="s">
        <v>280</v>
      </c>
      <c r="D37" s="35" t="s">
        <v>163</v>
      </c>
      <c r="E37" s="35" t="s">
        <v>152</v>
      </c>
      <c r="F37" s="35"/>
      <c r="G37" s="49" t="str">
        <f aca="false">IFERROR(INDEX('PR Plan'!$M$5:$M$19,MATCH(E37,'PR Plan'!$A$5:$A$19,0)),"-")</f>
        <v>Done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281</v>
      </c>
      <c r="B38" s="33" t="s">
        <v>282</v>
      </c>
      <c r="C38" s="33" t="s">
        <v>283</v>
      </c>
      <c r="D38" s="35" t="s">
        <v>163</v>
      </c>
      <c r="E38" s="35" t="s">
        <v>160</v>
      </c>
      <c r="F38" s="35"/>
      <c r="G38" s="49" t="str">
        <f aca="false">IFERROR(INDEX('PR Plan'!$M$5:$M$19,MATCH(E38,'PR Plan'!$A$5:$A$19,0)),"-")</f>
        <v>Not started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284</v>
      </c>
      <c r="B39" s="33" t="s">
        <v>282</v>
      </c>
      <c r="C39" s="33" t="s">
        <v>285</v>
      </c>
      <c r="D39" s="35" t="s">
        <v>163</v>
      </c>
      <c r="E39" s="35" t="s">
        <v>160</v>
      </c>
      <c r="F39" s="35" t="s">
        <v>111</v>
      </c>
      <c r="G39" s="49" t="str">
        <f aca="false">IFERROR(INDEX('PR Plan'!$M$5:$M$19,MATCH(E39,'PR Plan'!$A$5:$A$19,0)),"-")</f>
        <v>Not started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286</v>
      </c>
      <c r="B40" s="33" t="s">
        <v>282</v>
      </c>
      <c r="C40" s="33" t="s">
        <v>287</v>
      </c>
      <c r="D40" s="35" t="s">
        <v>217</v>
      </c>
      <c r="E40" s="35" t="s">
        <v>160</v>
      </c>
      <c r="F40" s="35"/>
      <c r="G40" s="49" t="str">
        <f aca="false">IFERROR(INDEX('PR Plan'!$M$5:$M$19,MATCH(E40,'PR Plan'!$A$5:$A$19,0)),"-")</f>
        <v>Not started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288</v>
      </c>
      <c r="B41" s="33" t="s">
        <v>289</v>
      </c>
      <c r="C41" s="33" t="s">
        <v>290</v>
      </c>
      <c r="D41" s="35" t="s">
        <v>163</v>
      </c>
      <c r="E41" s="35" t="s">
        <v>186</v>
      </c>
      <c r="F41" s="35" t="s">
        <v>160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291</v>
      </c>
      <c r="B42" s="33" t="s">
        <v>292</v>
      </c>
      <c r="C42" s="33" t="s">
        <v>293</v>
      </c>
      <c r="D42" s="35" t="s">
        <v>72</v>
      </c>
      <c r="E42" s="35" t="s">
        <v>111</v>
      </c>
      <c r="F42" s="35" t="s">
        <v>169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294</v>
      </c>
      <c r="B43" s="33" t="s">
        <v>292</v>
      </c>
      <c r="C43" s="33" t="s">
        <v>295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296</v>
      </c>
      <c r="B44" s="33" t="s">
        <v>292</v>
      </c>
      <c r="C44" s="33" t="s">
        <v>297</v>
      </c>
      <c r="D44" s="35" t="s">
        <v>72</v>
      </c>
      <c r="E44" s="35" t="s">
        <v>119</v>
      </c>
      <c r="F44" s="35" t="s">
        <v>169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298</v>
      </c>
      <c r="B45" s="33" t="s">
        <v>292</v>
      </c>
      <c r="C45" s="33" t="s">
        <v>299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300</v>
      </c>
      <c r="B46" s="33" t="s">
        <v>292</v>
      </c>
      <c r="C46" s="33" t="s">
        <v>301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302</v>
      </c>
      <c r="B47" s="33" t="s">
        <v>292</v>
      </c>
      <c r="C47" s="33" t="s">
        <v>303</v>
      </c>
      <c r="D47" s="35" t="s">
        <v>72</v>
      </c>
      <c r="E47" s="35" t="s">
        <v>127</v>
      </c>
      <c r="F47" s="35" t="s">
        <v>169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304</v>
      </c>
      <c r="B48" s="33" t="s">
        <v>305</v>
      </c>
      <c r="C48" s="33" t="s">
        <v>306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Done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307</v>
      </c>
      <c r="B49" s="33" t="s">
        <v>305</v>
      </c>
      <c r="C49" s="33" t="s">
        <v>308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309</v>
      </c>
      <c r="B50" s="33" t="s">
        <v>305</v>
      </c>
      <c r="C50" s="33" t="s">
        <v>310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311</v>
      </c>
      <c r="B51" s="33" t="s">
        <v>305</v>
      </c>
      <c r="C51" s="33" t="s">
        <v>312</v>
      </c>
      <c r="D51" s="35" t="s">
        <v>72</v>
      </c>
      <c r="E51" s="35" t="s">
        <v>111</v>
      </c>
      <c r="F51" s="35" t="s">
        <v>169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313</v>
      </c>
      <c r="B52" s="33" t="s">
        <v>305</v>
      </c>
      <c r="C52" s="33" t="s">
        <v>314</v>
      </c>
      <c r="D52" s="35" t="s">
        <v>163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315</v>
      </c>
      <c r="B53" s="33" t="s">
        <v>305</v>
      </c>
      <c r="C53" s="33" t="s">
        <v>316</v>
      </c>
      <c r="D53" s="35" t="s">
        <v>217</v>
      </c>
      <c r="E53" s="35" t="s">
        <v>169</v>
      </c>
      <c r="F53" s="35"/>
      <c r="G53" s="49" t="str">
        <f aca="false">IFERROR(INDEX('PR Plan'!$M$5:$M$19,MATCH(E53,'PR Plan'!$A$5:$A$19,0)),"-")</f>
        <v>Done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317</v>
      </c>
      <c r="B54" s="33" t="s">
        <v>289</v>
      </c>
      <c r="C54" s="33" t="s">
        <v>318</v>
      </c>
      <c r="D54" s="35" t="s">
        <v>163</v>
      </c>
      <c r="E54" s="35" t="s">
        <v>186</v>
      </c>
      <c r="F54" s="35" t="s">
        <v>144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319</v>
      </c>
    </row>
    <row r="2" customFormat="false" ht="15" hidden="false" customHeight="true" outlineLevel="0" collapsed="false">
      <c r="A2" s="3" t="s">
        <v>320</v>
      </c>
    </row>
    <row r="4" customFormat="false" ht="30" hidden="false" customHeight="true" outlineLevel="0" collapsed="false">
      <c r="A4" s="31" t="s">
        <v>321</v>
      </c>
      <c r="B4" s="31" t="s">
        <v>322</v>
      </c>
      <c r="C4" s="31" t="s">
        <v>323</v>
      </c>
      <c r="D4" s="31" t="s">
        <v>324</v>
      </c>
      <c r="E4" s="31" t="s">
        <v>325</v>
      </c>
      <c r="F4" s="31" t="s">
        <v>326</v>
      </c>
      <c r="G4" s="31" t="s">
        <v>327</v>
      </c>
    </row>
    <row r="5" customFormat="false" ht="48" hidden="false" customHeight="true" outlineLevel="0" collapsed="false">
      <c r="A5" s="32" t="s">
        <v>328</v>
      </c>
      <c r="B5" s="35" t="s">
        <v>329</v>
      </c>
      <c r="C5" s="50" t="s">
        <v>330</v>
      </c>
      <c r="D5" s="33" t="s">
        <v>331</v>
      </c>
      <c r="E5" s="33" t="s">
        <v>332</v>
      </c>
      <c r="F5" s="33" t="s">
        <v>333</v>
      </c>
      <c r="G5" s="35" t="s">
        <v>119</v>
      </c>
    </row>
    <row r="6" customFormat="false" ht="48" hidden="false" customHeight="true" outlineLevel="0" collapsed="false">
      <c r="A6" s="32" t="s">
        <v>334</v>
      </c>
      <c r="B6" s="35" t="s">
        <v>335</v>
      </c>
      <c r="C6" s="50" t="s">
        <v>336</v>
      </c>
      <c r="D6" s="33" t="s">
        <v>337</v>
      </c>
      <c r="E6" s="33" t="s">
        <v>338</v>
      </c>
      <c r="F6" s="33" t="s">
        <v>339</v>
      </c>
      <c r="G6" s="35" t="s">
        <v>111</v>
      </c>
    </row>
    <row r="7" customFormat="false" ht="48" hidden="false" customHeight="true" outlineLevel="0" collapsed="false">
      <c r="A7" s="32" t="s">
        <v>340</v>
      </c>
      <c r="B7" s="35" t="s">
        <v>341</v>
      </c>
      <c r="C7" s="50" t="s">
        <v>342</v>
      </c>
      <c r="D7" s="33" t="s">
        <v>343</v>
      </c>
      <c r="E7" s="33" t="s">
        <v>344</v>
      </c>
      <c r="F7" s="33" t="s">
        <v>345</v>
      </c>
      <c r="G7" s="35" t="s">
        <v>103</v>
      </c>
    </row>
    <row r="8" customFormat="false" ht="48" hidden="false" customHeight="true" outlineLevel="0" collapsed="false">
      <c r="A8" s="32" t="s">
        <v>346</v>
      </c>
      <c r="B8" s="35" t="s">
        <v>347</v>
      </c>
      <c r="C8" s="50" t="s">
        <v>348</v>
      </c>
      <c r="D8" s="33" t="s">
        <v>349</v>
      </c>
      <c r="E8" s="33" t="s">
        <v>350</v>
      </c>
      <c r="F8" s="33" t="s">
        <v>351</v>
      </c>
      <c r="G8" s="35" t="s">
        <v>95</v>
      </c>
    </row>
    <row r="9" customFormat="false" ht="48" hidden="false" customHeight="true" outlineLevel="0" collapsed="false">
      <c r="A9" s="32" t="s">
        <v>352</v>
      </c>
      <c r="B9" s="35" t="s">
        <v>353</v>
      </c>
      <c r="C9" s="50" t="s">
        <v>354</v>
      </c>
      <c r="D9" s="33" t="s">
        <v>355</v>
      </c>
      <c r="E9" s="33" t="s">
        <v>356</v>
      </c>
      <c r="F9" s="33" t="s">
        <v>357</v>
      </c>
      <c r="G9" s="35" t="s">
        <v>79</v>
      </c>
    </row>
    <row r="10" customFormat="false" ht="48" hidden="false" customHeight="true" outlineLevel="0" collapsed="false">
      <c r="A10" s="32" t="s">
        <v>358</v>
      </c>
      <c r="B10" s="35" t="s">
        <v>359</v>
      </c>
      <c r="C10" s="50" t="s">
        <v>360</v>
      </c>
      <c r="D10" s="33" t="s">
        <v>361</v>
      </c>
      <c r="E10" s="33" t="s">
        <v>362</v>
      </c>
      <c r="F10" s="33" t="s">
        <v>363</v>
      </c>
      <c r="G10" s="35" t="s">
        <v>119</v>
      </c>
    </row>
    <row r="11" customFormat="false" ht="48" hidden="false" customHeight="true" outlineLevel="0" collapsed="false">
      <c r="A11" s="32" t="s">
        <v>364</v>
      </c>
      <c r="B11" s="35" t="s">
        <v>34</v>
      </c>
      <c r="C11" s="50" t="s">
        <v>365</v>
      </c>
      <c r="D11" s="33" t="s">
        <v>366</v>
      </c>
      <c r="E11" s="33" t="s">
        <v>367</v>
      </c>
      <c r="F11" s="33" t="s">
        <v>368</v>
      </c>
      <c r="G11" s="35" t="s">
        <v>135</v>
      </c>
    </row>
    <row r="12" customFormat="false" ht="48" hidden="false" customHeight="true" outlineLevel="0" collapsed="false">
      <c r="A12" s="32" t="s">
        <v>369</v>
      </c>
      <c r="B12" s="35" t="s">
        <v>370</v>
      </c>
      <c r="C12" s="50" t="s">
        <v>371</v>
      </c>
      <c r="D12" s="33" t="s">
        <v>372</v>
      </c>
      <c r="E12" s="33" t="s">
        <v>373</v>
      </c>
      <c r="F12" s="33" t="s">
        <v>374</v>
      </c>
      <c r="G12" s="35" t="s">
        <v>111</v>
      </c>
    </row>
    <row r="13" customFormat="false" ht="48" hidden="false" customHeight="true" outlineLevel="0" collapsed="false">
      <c r="A13" s="32" t="s">
        <v>375</v>
      </c>
      <c r="B13" s="35" t="s">
        <v>376</v>
      </c>
      <c r="C13" s="50" t="s">
        <v>377</v>
      </c>
      <c r="D13" s="33" t="s">
        <v>378</v>
      </c>
      <c r="E13" s="33" t="s">
        <v>379</v>
      </c>
      <c r="F13" s="33" t="s">
        <v>380</v>
      </c>
      <c r="G13" s="35" t="s">
        <v>111</v>
      </c>
    </row>
    <row r="14" customFormat="false" ht="48" hidden="false" customHeight="true" outlineLevel="0" collapsed="false">
      <c r="A14" s="32" t="s">
        <v>381</v>
      </c>
      <c r="B14" s="35" t="s">
        <v>382</v>
      </c>
      <c r="C14" s="50" t="s">
        <v>383</v>
      </c>
      <c r="D14" s="33" t="s">
        <v>384</v>
      </c>
      <c r="E14" s="33" t="s">
        <v>385</v>
      </c>
      <c r="F14" s="33" t="s">
        <v>386</v>
      </c>
      <c r="G14" s="35" t="s">
        <v>79</v>
      </c>
    </row>
    <row r="15" customFormat="false" ht="48" hidden="false" customHeight="true" outlineLevel="0" collapsed="false">
      <c r="A15" s="32" t="s">
        <v>387</v>
      </c>
      <c r="B15" s="35" t="s">
        <v>388</v>
      </c>
      <c r="C15" s="50" t="s">
        <v>389</v>
      </c>
      <c r="D15" s="33" t="s">
        <v>390</v>
      </c>
      <c r="E15" s="33" t="s">
        <v>391</v>
      </c>
      <c r="F15" s="33" t="s">
        <v>392</v>
      </c>
      <c r="G15" s="35" t="s">
        <v>79</v>
      </c>
    </row>
    <row r="16" customFormat="false" ht="48" hidden="false" customHeight="true" outlineLevel="0" collapsed="false">
      <c r="A16" s="32" t="s">
        <v>393</v>
      </c>
      <c r="B16" s="35" t="s">
        <v>394</v>
      </c>
      <c r="C16" s="50" t="s">
        <v>395</v>
      </c>
      <c r="D16" s="33" t="s">
        <v>396</v>
      </c>
      <c r="E16" s="33" t="s">
        <v>397</v>
      </c>
      <c r="F16" s="33" t="s">
        <v>398</v>
      </c>
      <c r="G16" s="35" t="s">
        <v>69</v>
      </c>
    </row>
    <row r="17" customFormat="false" ht="48" hidden="false" customHeight="true" outlineLevel="0" collapsed="false">
      <c r="A17" s="32" t="s">
        <v>399</v>
      </c>
      <c r="B17" s="35" t="s">
        <v>400</v>
      </c>
      <c r="C17" s="50" t="s">
        <v>401</v>
      </c>
      <c r="D17" s="33" t="s">
        <v>402</v>
      </c>
      <c r="E17" s="33" t="s">
        <v>403</v>
      </c>
      <c r="F17" s="33" t="s">
        <v>404</v>
      </c>
      <c r="G17" s="35" t="s">
        <v>103</v>
      </c>
    </row>
    <row r="18" customFormat="false" ht="48" hidden="false" customHeight="true" outlineLevel="0" collapsed="false">
      <c r="A18" s="32" t="s">
        <v>405</v>
      </c>
      <c r="B18" s="35" t="s">
        <v>406</v>
      </c>
      <c r="C18" s="50" t="s">
        <v>407</v>
      </c>
      <c r="D18" s="33" t="s">
        <v>408</v>
      </c>
      <c r="E18" s="33" t="s">
        <v>409</v>
      </c>
      <c r="F18" s="33" t="s">
        <v>410</v>
      </c>
      <c r="G18" s="35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2026-10-12T10:28:24Z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