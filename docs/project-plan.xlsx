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Plan'!$A$4:$O$18</definedName>
    <definedName function="false" hidden="true" localSheetId="2" name="_xlnm._FilterDatabase" vbProcedure="false">'Story Coverage'!$A$4:$H$53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<sst xmlns="http://schemas.openxmlformats.org/spreadsheetml/2006/main" count="613" uniqueCount="378">
  <si>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</si>
  <si>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</si>
  <si>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</si>
  <si>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</si>
  <si>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</si>
  <si>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</si>
  <si>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</si>
  <si>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</si>
  <si>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</si>
  <si>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</si>
  <si>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</si>
  <si>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</si>
  <si>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</si>
  <si>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</si>
  <si>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</si>
  <si>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</si>
  <si>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</si>
  <si>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</si>
  <si>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</si>
  <si>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</si>
  <si>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</si>
  <si>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</si>
  <si>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</si>
  <si>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</si>
  <si>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</si>
  <si>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</si>
  <si>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</si>
  <si>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</si>
  <si>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</si>
  <si>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</si>
  <si>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</si>
  <si>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</si>
  <si>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</si>
  <si>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</si>
  <si>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</si>
  <si>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</si>
  <si>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</si>
  <si>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</si>
  <si>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</si>
  <si>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</si>
  <si>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</si>
  <si>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</si>
  <si>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</si>
  <si>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</si>
  <si>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</si>
  <si>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</si>
  <si>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</si>
  <si>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</si>
  <si>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</si>
  <si>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</si>
  <si>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</si>
  <si>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</si>
  <si>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</si>
  <si>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</si>
  <si>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</si>
  <si>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</si>
  <si>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</si>
  <si>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</si>
  <si>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</si>
  <si>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</si>
  <si>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</si>
  <si>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</si>
  <si>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</si>
  <si>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</si>
  <si>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</si>
  <si>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</si>
  <si>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</si>
  <si>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</si>
  <si>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</si>
  <si>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</si>
  <si>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</si>
  <si>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</si>
  <si>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</si>
  <si>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</si>
  <si>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</si>
  <si>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</si>
  <si>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</si>
  <si>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</si>
  <si>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</si>
  <si>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</si>
  <si>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</si>
  <si>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</si>
  <si>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</si>
  <si>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</si>
  <si>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</si>
  <si>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</si>
  <si>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</si>
  <si>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</si>
  <si>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</si>
  <si>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</si>
  <si>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</si>
  <si>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</si>
  <si>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</si>
  <si>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</si>
  <si>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Not started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</si>
  <si>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</si>
  <si>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</si>
  <si>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</si>
  <si>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</si>
  <si>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</si>
  <si>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</si>
  <si>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</si>
  <si>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</si>
  <si>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</si>
  <si>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</si>
  <si>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</si>
  <si>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Similarity threshold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</si>
  <si>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</si>
  <si>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Top-k choice; how the threshold was picked (eval, not guess); why sources come from retrieval not the LLM; hybrid search as next step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</si>
  <si>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</si>
  <si>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</si>
  <si>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</si>
  <si>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</si>
  <si>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</si>
  <si>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</si>
  <si>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</si>
  <si>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</si>
  <si>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</si>
  <si>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</si>
  <si>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</si>
  <si>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</si>
  <si>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</si>
  <si>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</si>
  <si>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</si>
  <si>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</si>
  <si>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</si>
  <si>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</si>
  <si>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</si>
  <si>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</si>
  <si>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</si>
  <si>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</si>
  <si>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</si>
  <si>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</si>
  <si>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</si>
  <si>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</si>
  <si>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</si>
  <si>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</si>
  <si>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</si>
  <si>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</si>
  <si>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</si>
  <si>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</si>
  <si>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</si>
  <si>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</si>
  <si>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</si>
  <si>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</si>
  <si>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</si>
  <si>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</si>
  <si>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</si>
  <si>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</si>
  <si>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</si>
  <si>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</si>
  <si>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</si>
  <si>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</si>
  <si>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</si>
  <si>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conversations audit trail + settings</t>
  </si>
  <si>
    <t xml:space="preserve">Should</t>
  </si>
  <si>
    <t xml:space="preserve">US-9.1, US-9.2, US-9.3, US-10.1</t>
  </si>
  <si>
    <t xml:space="preserve">- Conversations list + transcript view
- Inline tool-call rows (args, result, duration, failed highlighted)
- (Could) unanswered questions list from search found:false
- Business profile form (name, description, timezone)</t>
  </si>
  <si>
    <t xml:space="preserve">- Demo shows tool audit trail for a real conversation
- Profile change reflected in next chat reply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</si>
  <si>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</si>
  <si>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</si>
  <si>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</si>
  <si>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</si>
  <si>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</si>
  <si>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</si>
  <si>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</si>
  <si>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</si>
  <si>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</si>
  <si>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</si>
  <si>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</si>
  <si>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</si>
  <si>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</si>
  <si>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</si>
  <si>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</si>
  <si>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</si>
  <si>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</si>
  <si>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</si>
  <si>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</si>
  <si>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</si>
  <si>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</si>
  <si>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</si>
  <si>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</si>
  <si>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</si>
  <si>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</si>
  <si>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</si>
  <si>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</si>
  <si>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</si>
  <si>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</si>
  <si>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</si>
  <si>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</si>
  <si>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</si>
  <si>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</si>
  <si>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</si>
  <si>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</si>
  <si>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</si>
  <si>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</si>
  <si>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</si>
  <si>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</si>
  <si>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</si>
  <si>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</si>
  <si>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</si>
  <si>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</si>
  <si>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</si>
  <si>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</si>
  <si>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</si>
  <si>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</si>
  <si>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</si>
  <si>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</si>
  <si>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</si>
  <si>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</si>
  <si>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</si>
  <si>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</si>
  <si>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</si>
  <si>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</si>
  <si>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</si>
  <si>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</si>
  <si>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</si>
  <si>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</si>
  <si>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</si>
  <si>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</si>
  <si>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</si>
  <si>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</si>
  <si>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</si>
  <si>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</si>
  <si>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</si>
  <si>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</si>
  <si>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</si>
  <si>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</si>
  <si>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</si>
  <si>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</si>
  <si>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</si>
  <si>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</si>
  <si>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</si>
  <si>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</si>
  <si>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</si>
  <si>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</si>
  <si>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</si>
  <si>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</si>
  <si>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</si>
  <si>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</si>
  <si>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</si>
  <si>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</si>
  <si>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</si>
  <si>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</si>
  <si>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</si>
  <si>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</si>
  <si>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</si>
  <si>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</si>
  <si>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</si>
  <si>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</si>
  <si>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</si>
  <si>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</si>
  <si>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</si>
  <si>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</si>
  <si>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</si>
  <si>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</si>
  <si>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</si>
  <si>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</si>
  <si>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</si>
  <si>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</si>
  <si>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</si>
  <si>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</si>
  <si>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</si>
  <si>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</si>
  <si>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</si>
  <si>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</si>
  <si>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</si>
  <si>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</si>
  <si>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</si>
  <si>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</si>
  <si>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</si>
  <si>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</si>
  <si>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</si>
  <si>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</si>
  <si>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</si>
  <si>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</si>
  <si>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</si>
  <si>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</si>
  <si>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</si>
  <si>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</si>
  <si>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</si>
  <si>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</si>
  <si>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</si>
  <si>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</si>
  <si>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</si>
  <si>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</si>
  <si>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</si>
  <si>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</si>
  <si>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</si>
  <si>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</si>
  <si>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</si>
  <si>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</si>
  <si>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</si>
  <si>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</si>
  <si>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</si>
  <si>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</si>
  <si>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</si>
  <si>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</si>
  <si>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</si>
  <si>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</si>
  <si>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</si>
  <si>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</si>
  <si>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</si>
  <si>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</si>
  <si>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</si>
  <si>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</si>
  <si>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</si>
  <si>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</si>
  <si>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</si>
  <si>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</si>
  <si>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</si>
  <si>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</si>
  <si>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</si>
  <si>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</si>
  <si>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</si>
  <si>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</si>
  <si>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</si>
  <si>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</si>
  <si>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</si>
  <si>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</si>
  <si>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</si>
  <si>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similarity threshold + sources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</si>
  <si>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</si>
  <si>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</si>
  <si>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Threshold too high -&gt; false 'I don't know'; tuned with eval script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</si>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</sst>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Plan'!$A$5:$A$18)</f>
        <v>14</v>
      </c>
    </row>
    <row r="6" customFormat="false" ht="15" hidden="false" customHeight="true" outlineLevel="0" collapsed="false">
      <c r="A6" s="5" t="s">
        <v>4</v>
      </c>
      <c r="B6" s="6" t="n">
        <f aca="false">COUNTIF('PR Plan'!$M$5:$M$18,"Done")</f>
        <v>2</v>
      </c>
    </row>
    <row r="7" customFormat="false" ht="15" hidden="false" customHeight="true" outlineLevel="0" collapsed="false">
      <c r="A7" s="5" t="s">
        <v>5</v>
      </c>
      <c r="B7" s="6" t="n">
        <f aca="false">COUNTIF('PR Plan'!$M$5:$M$18,"In progress")+COUNTIF('PR Plan'!$M$5:$M$18,"In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Plan'!$M$5:$M$18,"Blocked")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Plan'!$K$5:$K$18)</f>
        <v>27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Plan'!$K$5:$K$18,'PR Plan'!$M$5:$M$18,"Done")</f>
        <v>2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0.0740740740740741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49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1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Plan'!$K$5:$K$18,'PR Plan'!$L$5:$L$18,A18)</f>
        <v>8.5</v>
      </c>
      <c r="D18" s="11" t="n">
        <f aca="false">B18-C18</f>
        <v>-0.5</v>
      </c>
      <c r="E18" s="12" t="n">
        <f aca="false">COUNTIF('PR Plan'!$L$5:$L$18,A18)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Plan'!$K$5:$K$18,'PR Plan'!$L$5:$L$18,A19)</f>
        <v>11.5</v>
      </c>
      <c r="D19" s="11" t="n">
        <f aca="false">B19-C19</f>
        <v>0.5</v>
      </c>
      <c r="E19" s="12" t="n">
        <f aca="false">COUNTIF('PR Plan'!$L$5:$L$18,A19)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Plan'!$K$5:$K$18,'PR Plan'!$L$5:$L$18,A20)</f>
        <v>5</v>
      </c>
      <c r="D20" s="11" t="n">
        <f aca="false">B20-C20</f>
        <v>0</v>
      </c>
      <c r="E20" s="12" t="n">
        <f aca="false">COUNTIF('PR Plan'!$L$5:$L$18,A20)</f>
        <v>3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Plan'!$K$5:$K$18,'PR Plan'!$L$5:$L$18,A21)</f>
        <v>2</v>
      </c>
      <c r="D21" s="11" t="n">
        <f aca="false">B21-C21</f>
        <v>-2</v>
      </c>
      <c r="E21" s="12" t="n">
        <f aca="false">COUNTIF('PR Plan'!$L$5:$L$18,A21)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27</v>
      </c>
      <c r="D22" s="14" t="n">
        <f aca="false">B22-C22</f>
        <v>-2</v>
      </c>
      <c r="E22" s="15" t="n">
        <f aca="false">SUM(E18:E21)</f>
        <v>14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Plan'!$K$5:$K$18,'PR Plan'!$D$5:$D$18,A27)</f>
        <v>2.5</v>
      </c>
      <c r="C27" s="18" t="n">
        <f aca="false">COUNTIF('PR Plan'!$D$5:$D$18,A27)</f>
        <v>3</v>
      </c>
      <c r="D27" s="18" t="n">
        <f aca="false">COUNTIFS('PR Plan'!$D$5:$D$18,A27,'PR Plan'!$M$5:$M$18,"Done")</f>
        <v>2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Plan'!$K$5:$K$18,'PR Plan'!$D$5:$D$18,A28)</f>
        <v>3.5</v>
      </c>
      <c r="C28" s="18" t="n">
        <f aca="false">COUNTIF('PR Plan'!$D$5:$D$18,A28)</f>
        <v>2</v>
      </c>
      <c r="D28" s="18" t="n">
        <f aca="false">COUNTIFS('PR Plan'!$D$5:$D$18,A28,'PR Plan'!$M$5:$M$18,"Done")</f>
        <v>0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Plan'!$K$5:$K$18,'PR Plan'!$D$5:$D$18,A29)</f>
        <v>5</v>
      </c>
      <c r="C29" s="18" t="n">
        <f aca="false">COUNTIF('PR Plan'!$D$5:$D$18,A29)</f>
        <v>2</v>
      </c>
      <c r="D29" s="18" t="n">
        <f aca="false">COUNTIFS('PR Plan'!$D$5:$D$18,A29,'PR Plan'!$M$5:$M$18,"Done")</f>
        <v>0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Plan'!$K$5:$K$18,'PR Plan'!$D$5:$D$18,A30)</f>
        <v>3</v>
      </c>
      <c r="C30" s="18" t="n">
        <f aca="false">COUNTIF('PR Plan'!$D$5:$D$18,A30)</f>
        <v>1</v>
      </c>
      <c r="D30" s="18" t="n">
        <f aca="false">COUNTIFS('PR Plan'!$D$5:$D$18,A30,'PR Plan'!$M$5:$M$18,"Done")</f>
        <v>0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Plan'!$K$5:$K$18,'PR Plan'!$D$5:$D$18,A31)</f>
        <v>4</v>
      </c>
      <c r="C31" s="18" t="n">
        <f aca="false">COUNTIF('PR Plan'!$D$5:$D$18,A31)</f>
        <v>1</v>
      </c>
      <c r="D31" s="18" t="n">
        <f aca="false">COUNTIFS('PR Plan'!$D$5:$D$18,A31,'PR Plan'!$M$5:$M$18,"Done")</f>
        <v>0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Plan'!$K$5:$K$18,'PR Plan'!$D$5:$D$18,A32)</f>
        <v>5.5</v>
      </c>
      <c r="C32" s="18" t="n">
        <f aca="false">COUNTIF('PR Plan'!$D$5:$D$18,A32)</f>
        <v>3</v>
      </c>
      <c r="D32" s="18" t="n">
        <f aca="false">COUNTIFS('PR Plan'!$D$5:$D$18,A32,'PR Plan'!$M$5:$M$18,"Done")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Plan'!$K$5:$K$18,'PR Plan'!$D$5:$D$18,A33)</f>
        <v>1.5</v>
      </c>
      <c r="C33" s="18" t="n">
        <f aca="false">COUNTIF('PR Plan'!$D$5:$D$18,A33)</f>
        <v>1</v>
      </c>
      <c r="D33" s="18" t="n">
        <f aca="false">COUNTIFS('PR Plan'!$D$5:$D$18,A33,'PR Plan'!$M$5:$M$18,"Done")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Plan'!$K$5:$K$18,'PR Plan'!$D$5:$D$18,A34)</f>
        <v>2</v>
      </c>
      <c r="C34" s="18" t="n">
        <f aca="false">COUNTIF('PR Plan'!$D$5:$D$18,A34)</f>
        <v>1</v>
      </c>
      <c r="D34" s="18" t="n">
        <f aca="false">COUNTIFS('PR Plan'!$D$5:$D$18,A34,'PR Plan'!$M$5:$M$18,"Done")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94</v>
      </c>
      <c r="N7" s="35" t="n">
        <f aca="false">COUNTIF('Story Coverage'!$E:$E,A7)</f>
        <v>0</v>
      </c>
      <c r="O7" s="38"/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94</v>
      </c>
      <c r="N8" s="35" t="n">
        <f aca="false">COUNTIF('Story Coverage'!$E:$E,A8)</f>
        <v>2</v>
      </c>
      <c r="O8" s="38"/>
    </row>
    <row r="9" customFormat="false" ht="96.75" hidden="false" customHeight="true" outlineLevel="0" collapsed="false">
      <c r="A9" s="32" t="s">
        <v>102</v>
      </c>
      <c r="B9" s="33" t="s">
        <v>103</v>
      </c>
      <c r="C9" s="33" t="s">
        <v>104</v>
      </c>
      <c r="D9" s="39" t="s">
        <v>31</v>
      </c>
      <c r="E9" s="35" t="s">
        <v>72</v>
      </c>
      <c r="F9" s="33" t="s">
        <v>105</v>
      </c>
      <c r="G9" s="33" t="s">
        <v>106</v>
      </c>
      <c r="H9" s="33" t="s">
        <v>107</v>
      </c>
      <c r="I9" s="33" t="s">
        <v>108</v>
      </c>
      <c r="J9" s="35" t="s">
        <v>95</v>
      </c>
      <c r="K9" s="36" t="n">
        <v>1.5</v>
      </c>
      <c r="L9" s="35" t="s">
        <v>19</v>
      </c>
      <c r="M9" s="37" t="s">
        <v>94</v>
      </c>
      <c r="N9" s="35" t="n">
        <f aca="false">COUNTIF('Story Coverage'!$E:$E,A9)</f>
        <v>3</v>
      </c>
      <c r="O9" s="38"/>
    </row>
    <row r="10" customFormat="false" ht="162" hidden="false" customHeight="true" outlineLevel="0" collapsed="false">
      <c r="A10" s="32" t="s">
        <v>109</v>
      </c>
      <c r="B10" s="33" t="s">
        <v>110</v>
      </c>
      <c r="C10" s="33" t="s">
        <v>111</v>
      </c>
      <c r="D10" s="40" t="s">
        <v>32</v>
      </c>
      <c r="E10" s="35" t="s">
        <v>72</v>
      </c>
      <c r="F10" s="33" t="s">
        <v>112</v>
      </c>
      <c r="G10" s="33" t="s">
        <v>113</v>
      </c>
      <c r="H10" s="33" t="s">
        <v>114</v>
      </c>
      <c r="I10" s="33" t="s">
        <v>115</v>
      </c>
      <c r="J10" s="35" t="s">
        <v>102</v>
      </c>
      <c r="K10" s="36" t="n">
        <v>2.5</v>
      </c>
      <c r="L10" s="35" t="s">
        <v>19</v>
      </c>
      <c r="M10" s="37" t="s">
        <v>94</v>
      </c>
      <c r="N10" s="35" t="n">
        <f aca="false">COUNTIF('Story Coverage'!$E:$E,A10)</f>
        <v>11</v>
      </c>
      <c r="O10" s="38"/>
    </row>
    <row r="11" customFormat="false" ht="187.5" hidden="false" customHeight="true" outlineLevel="0" collapsed="false">
      <c r="A11" s="32" t="s">
        <v>116</v>
      </c>
      <c r="B11" s="33" t="s">
        <v>117</v>
      </c>
      <c r="C11" s="33" t="s">
        <v>118</v>
      </c>
      <c r="D11" s="40" t="s">
        <v>32</v>
      </c>
      <c r="E11" s="35" t="s">
        <v>72</v>
      </c>
      <c r="F11" s="33" t="s">
        <v>119</v>
      </c>
      <c r="G11" s="33" t="s">
        <v>120</v>
      </c>
      <c r="H11" s="33" t="s">
        <v>121</v>
      </c>
      <c r="I11" s="33" t="s">
        <v>122</v>
      </c>
      <c r="J11" s="35" t="s">
        <v>109</v>
      </c>
      <c r="K11" s="36" t="n">
        <v>2.5</v>
      </c>
      <c r="L11" s="35" t="s">
        <v>20</v>
      </c>
      <c r="M11" s="37" t="s">
        <v>94</v>
      </c>
      <c r="N11" s="35" t="n">
        <f aca="false">COUNTIF('Story Coverage'!$E:$E,A11)</f>
        <v>6</v>
      </c>
      <c r="O11" s="38"/>
    </row>
    <row r="12" customFormat="false" ht="187.5" hidden="false" customHeight="true" outlineLevel="0" collapsed="false">
      <c r="A12" s="32" t="s">
        <v>123</v>
      </c>
      <c r="B12" s="33" t="s">
        <v>124</v>
      </c>
      <c r="C12" s="33" t="s">
        <v>125</v>
      </c>
      <c r="D12" s="41" t="s">
        <v>33</v>
      </c>
      <c r="E12" s="35" t="s">
        <v>72</v>
      </c>
      <c r="F12" s="33" t="s">
        <v>126</v>
      </c>
      <c r="G12" s="33" t="s">
        <v>127</v>
      </c>
      <c r="H12" s="33" t="s">
        <v>128</v>
      </c>
      <c r="I12" s="33" t="s">
        <v>129</v>
      </c>
      <c r="J12" s="35" t="s">
        <v>116</v>
      </c>
      <c r="K12" s="36" t="n">
        <v>3</v>
      </c>
      <c r="L12" s="35" t="s">
        <v>20</v>
      </c>
      <c r="M12" s="37" t="s">
        <v>94</v>
      </c>
      <c r="N12" s="35" t="n">
        <f aca="false">COUNTIF('Story Coverage'!$E:$E,A12)</f>
        <v>6</v>
      </c>
      <c r="O12" s="38"/>
    </row>
    <row r="13" customFormat="false" ht="148.5" hidden="false" customHeight="true" outlineLevel="0" collapsed="false">
      <c r="A13" s="32" t="s">
        <v>130</v>
      </c>
      <c r="B13" s="33" t="s">
        <v>131</v>
      </c>
      <c r="C13" s="33" t="s">
        <v>132</v>
      </c>
      <c r="D13" s="42" t="s">
        <v>34</v>
      </c>
      <c r="E13" s="35" t="s">
        <v>72</v>
      </c>
      <c r="F13" s="33" t="s">
        <v>133</v>
      </c>
      <c r="G13" s="33" t="s">
        <v>134</v>
      </c>
      <c r="H13" s="33" t="s">
        <v>135</v>
      </c>
      <c r="I13" s="33" t="s">
        <v>136</v>
      </c>
      <c r="J13" s="35" t="s">
        <v>137</v>
      </c>
      <c r="K13" s="36" t="n">
        <v>4</v>
      </c>
      <c r="L13" s="35" t="s">
        <v>20</v>
      </c>
      <c r="M13" s="37" t="s">
        <v>94</v>
      </c>
      <c r="N13" s="35" t="n">
        <f aca="false">COUNTIF('Story Coverage'!$E:$E,A13)</f>
        <v>8</v>
      </c>
      <c r="O13" s="38"/>
    </row>
    <row r="14" customFormat="false" ht="109.5" hidden="false" customHeight="true" outlineLevel="0" collapsed="false">
      <c r="A14" s="32" t="s">
        <v>138</v>
      </c>
      <c r="B14" s="33" t="s">
        <v>139</v>
      </c>
      <c r="C14" s="33" t="s">
        <v>140</v>
      </c>
      <c r="D14" s="43" t="s">
        <v>35</v>
      </c>
      <c r="E14" s="35" t="s">
        <v>72</v>
      </c>
      <c r="F14" s="33" t="s">
        <v>141</v>
      </c>
      <c r="G14" s="33" t="s">
        <v>142</v>
      </c>
      <c r="H14" s="33" t="s">
        <v>143</v>
      </c>
      <c r="I14" s="33" t="s">
        <v>144</v>
      </c>
      <c r="J14" s="35" t="s">
        <v>95</v>
      </c>
      <c r="K14" s="36" t="n">
        <v>2</v>
      </c>
      <c r="L14" s="35" t="s">
        <v>20</v>
      </c>
      <c r="M14" s="37" t="s">
        <v>94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145</v>
      </c>
      <c r="B15" s="33" t="s">
        <v>146</v>
      </c>
      <c r="C15" s="33" t="s">
        <v>147</v>
      </c>
      <c r="D15" s="43" t="s">
        <v>35</v>
      </c>
      <c r="E15" s="35" t="s">
        <v>72</v>
      </c>
      <c r="F15" s="33" t="s">
        <v>148</v>
      </c>
      <c r="G15" s="33" t="s">
        <v>149</v>
      </c>
      <c r="H15" s="33" t="s">
        <v>150</v>
      </c>
      <c r="I15" s="33" t="s">
        <v>151</v>
      </c>
      <c r="J15" s="35" t="s">
        <v>109</v>
      </c>
      <c r="K15" s="36" t="n">
        <v>1.5</v>
      </c>
      <c r="L15" s="35" t="s">
        <v>21</v>
      </c>
      <c r="M15" s="37" t="s">
        <v>94</v>
      </c>
      <c r="N15" s="35" t="n">
        <f aca="false">COUNTIF('Story Coverage'!$E:$E,A15)</f>
        <v>3</v>
      </c>
      <c r="O15" s="38"/>
    </row>
    <row r="16" customFormat="false" ht="96.75" hidden="false" customHeight="true" outlineLevel="0" collapsed="false">
      <c r="A16" s="32" t="s">
        <v>152</v>
      </c>
      <c r="B16" s="33" t="s">
        <v>153</v>
      </c>
      <c r="C16" s="33" t="s">
        <v>154</v>
      </c>
      <c r="D16" s="43" t="s">
        <v>35</v>
      </c>
      <c r="E16" s="35" t="s">
        <v>155</v>
      </c>
      <c r="F16" s="33" t="s">
        <v>156</v>
      </c>
      <c r="G16" s="33" t="s">
        <v>157</v>
      </c>
      <c r="H16" s="33" t="s">
        <v>158</v>
      </c>
      <c r="I16" s="33" t="s">
        <v>159</v>
      </c>
      <c r="J16" s="35" t="s">
        <v>116</v>
      </c>
      <c r="K16" s="36" t="n">
        <v>2</v>
      </c>
      <c r="L16" s="35" t="s">
        <v>22</v>
      </c>
      <c r="M16" s="37" t="s">
        <v>94</v>
      </c>
      <c r="N16" s="35" t="n">
        <f aca="false">COUNTIF('Story Coverage'!$E:$E,A16)</f>
        <v>4</v>
      </c>
      <c r="O16" s="38"/>
    </row>
    <row r="17" customFormat="false" ht="109.5" hidden="false" customHeight="true" outlineLevel="0" collapsed="false">
      <c r="A17" s="32" t="s">
        <v>160</v>
      </c>
      <c r="B17" s="33" t="s">
        <v>161</v>
      </c>
      <c r="C17" s="33" t="s">
        <v>162</v>
      </c>
      <c r="D17" s="44" t="s">
        <v>36</v>
      </c>
      <c r="E17" s="35" t="s">
        <v>72</v>
      </c>
      <c r="F17" s="33" t="s">
        <v>163</v>
      </c>
      <c r="G17" s="33" t="s">
        <v>164</v>
      </c>
      <c r="H17" s="33" t="s">
        <v>165</v>
      </c>
      <c r="I17" s="33" t="s">
        <v>166</v>
      </c>
      <c r="J17" s="35" t="s">
        <v>167</v>
      </c>
      <c r="K17" s="36" t="n">
        <v>1.5</v>
      </c>
      <c r="L17" s="35" t="s">
        <v>21</v>
      </c>
      <c r="M17" s="37" t="s">
        <v>94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168</v>
      </c>
      <c r="B18" s="33" t="s">
        <v>169</v>
      </c>
      <c r="C18" s="33" t="s">
        <v>170</v>
      </c>
      <c r="D18" s="45" t="s">
        <v>37</v>
      </c>
      <c r="E18" s="35" t="s">
        <v>72</v>
      </c>
      <c r="F18" s="33" t="s">
        <v>171</v>
      </c>
      <c r="G18" s="33" t="s">
        <v>172</v>
      </c>
      <c r="H18" s="33" t="s">
        <v>173</v>
      </c>
      <c r="I18" s="33" t="s">
        <v>174</v>
      </c>
      <c r="J18" s="35" t="s">
        <v>175</v>
      </c>
      <c r="K18" s="36" t="n">
        <v>2</v>
      </c>
      <c r="L18" s="35" t="s">
        <v>21</v>
      </c>
      <c r="M18" s="37" t="s">
        <v>94</v>
      </c>
      <c r="N18" s="35" t="n">
        <f aca="false">COUNTIF('Story Coverage'!$E:$E,A18)</f>
        <v>0</v>
      </c>
      <c r="O18" s="38"/>
    </row>
    <row r="19" customFormat="false" ht="15" hidden="false" customHeight="true" outlineLevel="0" collapsed="false">
      <c r="A19" s="46" t="s">
        <v>176</v>
      </c>
      <c r="B19" s="47"/>
      <c r="C19" s="47"/>
      <c r="D19" s="47"/>
      <c r="E19" s="47"/>
      <c r="F19" s="47"/>
      <c r="G19" s="47"/>
      <c r="H19" s="47"/>
      <c r="I19" s="47"/>
      <c r="J19" s="47"/>
      <c r="K19" s="48" t="n">
        <f aca="false">SUM(K5:K18)</f>
        <v>27</v>
      </c>
      <c r="L19" s="47"/>
      <c r="M19" s="47"/>
      <c r="N19" s="46" t="n">
        <f aca="false">SUM(N5:N18)</f>
        <v>49</v>
      </c>
      <c r="O19" s="47"/>
    </row>
    <row r="20" customFormat="false" ht="15" hidden="false" customHeight="true" outlineLevel="0" collapsed="false">
      <c r="K20" s="16" t="s">
        <v>177</v>
      </c>
    </row>
  </sheetData>
  <autoFilter ref="A4:O18"/>
  <conditionalFormatting sqref="M5:M18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8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8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8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8" type="list">
      <formula1>"Must,Should,Could"</formula1>
      <formula2>0</formula2>
    </dataValidation>
    <dataValidation allowBlank="false" errorStyle="stop" operator="between" showDropDown="false" showErrorMessage="false" showInputMessage="false" sqref="L5:L18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178</v>
      </c>
    </row>
    <row r="2" customFormat="false" ht="15" hidden="false" customHeight="true" outlineLevel="0" collapsed="false">
      <c r="A2" s="3" t="s">
        <v>179</v>
      </c>
    </row>
    <row r="4" customFormat="false" ht="30" hidden="false" customHeight="true" outlineLevel="0" collapsed="false">
      <c r="A4" s="31" t="s">
        <v>180</v>
      </c>
      <c r="B4" s="31" t="s">
        <v>181</v>
      </c>
      <c r="C4" s="31" t="s">
        <v>182</v>
      </c>
      <c r="D4" s="31" t="s">
        <v>58</v>
      </c>
      <c r="E4" s="31" t="s">
        <v>183</v>
      </c>
      <c r="F4" s="31" t="s">
        <v>184</v>
      </c>
      <c r="G4" s="31" t="s">
        <v>185</v>
      </c>
      <c r="H4" s="31" t="s">
        <v>186</v>
      </c>
    </row>
    <row r="5" customFormat="false" ht="15" hidden="false" customHeight="true" outlineLevel="0" collapsed="false">
      <c r="A5" s="32" t="s">
        <v>187</v>
      </c>
      <c r="B5" s="33" t="s">
        <v>188</v>
      </c>
      <c r="C5" s="33" t="s">
        <v>189</v>
      </c>
      <c r="D5" s="35" t="s">
        <v>72</v>
      </c>
      <c r="E5" s="35" t="s">
        <v>123</v>
      </c>
      <c r="F5" s="35" t="s">
        <v>116</v>
      </c>
      <c r="G5" s="49" t="str">
        <f aca="false">IFERROR(INDEX('PR Plan'!$M$5:$M$18,MATCH(E5,'PR Plan'!$A$5:$A$18,0)),"-")</f>
        <v>Not started</v>
      </c>
      <c r="H5" s="49" t="str">
        <f aca="false">IFERROR(INDEX('PR Plan'!$L$5:$L$18,MATCH(E5,'PR Plan'!$A$5:$A$18,0)),"-")</f>
        <v>Day 2 - Mon Oct 12</v>
      </c>
    </row>
    <row r="6" customFormat="false" ht="15" hidden="false" customHeight="true" outlineLevel="0" collapsed="false">
      <c r="A6" s="32" t="s">
        <v>190</v>
      </c>
      <c r="B6" s="33" t="s">
        <v>188</v>
      </c>
      <c r="C6" s="33" t="s">
        <v>191</v>
      </c>
      <c r="D6" s="35" t="s">
        <v>72</v>
      </c>
      <c r="E6" s="35" t="s">
        <v>123</v>
      </c>
      <c r="F6" s="35" t="s">
        <v>116</v>
      </c>
      <c r="G6" s="49" t="str">
        <f aca="false">IFERROR(INDEX('PR Plan'!$M$5:$M$18,MATCH(E6,'PR Plan'!$A$5:$A$18,0)),"-")</f>
        <v>Not started</v>
      </c>
      <c r="H6" s="49" t="str">
        <f aca="false">IFERROR(INDEX('PR Plan'!$L$5:$L$18,MATCH(E6,'PR Plan'!$A$5:$A$18,0)),"-")</f>
        <v>Day 2 - Mon Oct 12</v>
      </c>
    </row>
    <row r="7" customFormat="false" ht="15" hidden="false" customHeight="true" outlineLevel="0" collapsed="false">
      <c r="A7" s="32" t="s">
        <v>192</v>
      </c>
      <c r="B7" s="33" t="s">
        <v>188</v>
      </c>
      <c r="C7" s="33" t="s">
        <v>193</v>
      </c>
      <c r="D7" s="35" t="s">
        <v>72</v>
      </c>
      <c r="E7" s="35" t="s">
        <v>123</v>
      </c>
      <c r="F7" s="35" t="s">
        <v>116</v>
      </c>
      <c r="G7" s="49" t="str">
        <f aca="false">IFERROR(INDEX('PR Plan'!$M$5:$M$18,MATCH(E7,'PR Plan'!$A$5:$A$18,0)),"-")</f>
        <v>Not started</v>
      </c>
      <c r="H7" s="49" t="str">
        <f aca="false">IFERROR(INDEX('PR Plan'!$L$5:$L$18,MATCH(E7,'PR Plan'!$A$5:$A$18,0)),"-")</f>
        <v>Day 2 - Mon Oct 12</v>
      </c>
    </row>
    <row r="8" customFormat="false" ht="15" hidden="false" customHeight="true" outlineLevel="0" collapsed="false">
      <c r="A8" s="32" t="s">
        <v>194</v>
      </c>
      <c r="B8" s="33" t="s">
        <v>188</v>
      </c>
      <c r="C8" s="33" t="s">
        <v>195</v>
      </c>
      <c r="D8" s="35" t="s">
        <v>72</v>
      </c>
      <c r="E8" s="35" t="s">
        <v>123</v>
      </c>
      <c r="F8" s="35"/>
      <c r="G8" s="49" t="str">
        <f aca="false">IFERROR(INDEX('PR Plan'!$M$5:$M$18,MATCH(E8,'PR Plan'!$A$5:$A$18,0)),"-")</f>
        <v>Not started</v>
      </c>
      <c r="H8" s="49" t="str">
        <f aca="false">IFERROR(INDEX('PR Plan'!$L$5:$L$18,MATCH(E8,'PR Plan'!$A$5:$A$18,0)),"-")</f>
        <v>Day 2 - Mon Oct 12</v>
      </c>
    </row>
    <row r="9" customFormat="false" ht="15" hidden="false" customHeight="true" outlineLevel="0" collapsed="false">
      <c r="A9" s="32" t="s">
        <v>196</v>
      </c>
      <c r="B9" s="33" t="s">
        <v>188</v>
      </c>
      <c r="C9" s="33" t="s">
        <v>197</v>
      </c>
      <c r="D9" s="35" t="s">
        <v>198</v>
      </c>
      <c r="E9" s="35" t="s">
        <v>123</v>
      </c>
      <c r="F9" s="35"/>
      <c r="G9" s="49" t="str">
        <f aca="false">IFERROR(INDEX('PR Plan'!$M$5:$M$18,MATCH(E9,'PR Plan'!$A$5:$A$18,0)),"-")</f>
        <v>Not started</v>
      </c>
      <c r="H9" s="49" t="str">
        <f aca="false">IFERROR(INDEX('PR Plan'!$L$5:$L$18,MATCH(E9,'PR Plan'!$A$5:$A$18,0)),"-")</f>
        <v>Day 2 - Mon Oct 12</v>
      </c>
    </row>
    <row r="10" customFormat="false" ht="15" hidden="false" customHeight="true" outlineLevel="0" collapsed="false">
      <c r="A10" s="32" t="s">
        <v>199</v>
      </c>
      <c r="B10" s="33" t="s">
        <v>200</v>
      </c>
      <c r="C10" s="33" t="s">
        <v>201</v>
      </c>
      <c r="D10" s="35" t="s">
        <v>72</v>
      </c>
      <c r="E10" s="35" t="s">
        <v>130</v>
      </c>
      <c r="F10" s="35"/>
      <c r="G10" s="49" t="str">
        <f aca="false">IFERROR(INDEX('PR Plan'!$M$5:$M$18,MATCH(E10,'PR Plan'!$A$5:$A$18,0)),"-")</f>
        <v>Not started</v>
      </c>
      <c r="H10" s="49" t="str">
        <f aca="false">IFERROR(INDEX('PR Plan'!$L$5:$L$18,MATCH(E10,'PR Plan'!$A$5:$A$18,0)),"-")</f>
        <v>Day 2 - Mon Oct 12</v>
      </c>
    </row>
    <row r="11" customFormat="false" ht="15" hidden="false" customHeight="true" outlineLevel="0" collapsed="false">
      <c r="A11" s="32" t="s">
        <v>202</v>
      </c>
      <c r="B11" s="33" t="s">
        <v>200</v>
      </c>
      <c r="C11" s="33" t="s">
        <v>203</v>
      </c>
      <c r="D11" s="35" t="s">
        <v>72</v>
      </c>
      <c r="E11" s="35" t="s">
        <v>130</v>
      </c>
      <c r="F11" s="35"/>
      <c r="G11" s="49" t="str">
        <f aca="false">IFERROR(INDEX('PR Plan'!$M$5:$M$18,MATCH(E11,'PR Plan'!$A$5:$A$18,0)),"-")</f>
        <v>Not started</v>
      </c>
      <c r="H11" s="49" t="str">
        <f aca="false">IFERROR(INDEX('PR Plan'!$L$5:$L$18,MATCH(E11,'PR Plan'!$A$5:$A$18,0)),"-")</f>
        <v>Day 2 - Mon Oct 12</v>
      </c>
    </row>
    <row r="12" customFormat="false" ht="15" hidden="false" customHeight="true" outlineLevel="0" collapsed="false">
      <c r="A12" s="32" t="s">
        <v>204</v>
      </c>
      <c r="B12" s="33" t="s">
        <v>200</v>
      </c>
      <c r="C12" s="33" t="s">
        <v>205</v>
      </c>
      <c r="D12" s="35" t="s">
        <v>72</v>
      </c>
      <c r="E12" s="35" t="s">
        <v>130</v>
      </c>
      <c r="F12" s="35"/>
      <c r="G12" s="49" t="str">
        <f aca="false">IFERROR(INDEX('PR Plan'!$M$5:$M$18,MATCH(E12,'PR Plan'!$A$5:$A$18,0)),"-")</f>
        <v>Not started</v>
      </c>
      <c r="H12" s="49" t="str">
        <f aca="false">IFERROR(INDEX('PR Plan'!$L$5:$L$18,MATCH(E12,'PR Plan'!$A$5:$A$18,0)),"-")</f>
        <v>Day 2 - Mon Oct 12</v>
      </c>
    </row>
    <row r="13" customFormat="false" ht="15" hidden="false" customHeight="true" outlineLevel="0" collapsed="false">
      <c r="A13" s="32" t="s">
        <v>206</v>
      </c>
      <c r="B13" s="33" t="s">
        <v>200</v>
      </c>
      <c r="C13" s="33" t="s">
        <v>207</v>
      </c>
      <c r="D13" s="35" t="s">
        <v>72</v>
      </c>
      <c r="E13" s="35" t="s">
        <v>130</v>
      </c>
      <c r="F13" s="35" t="s">
        <v>109</v>
      </c>
      <c r="G13" s="49" t="str">
        <f aca="false">IFERROR(INDEX('PR Plan'!$M$5:$M$18,MATCH(E13,'PR Plan'!$A$5:$A$18,0)),"-")</f>
        <v>Not started</v>
      </c>
      <c r="H13" s="49" t="str">
        <f aca="false">IFERROR(INDEX('PR Plan'!$L$5:$L$18,MATCH(E13,'PR Plan'!$A$5:$A$18,0)),"-")</f>
        <v>Day 2 - Mon Oct 12</v>
      </c>
    </row>
    <row r="14" customFormat="false" ht="15" hidden="false" customHeight="true" outlineLevel="0" collapsed="false">
      <c r="A14" s="32" t="s">
        <v>208</v>
      </c>
      <c r="B14" s="33" t="s">
        <v>200</v>
      </c>
      <c r="C14" s="33" t="s">
        <v>209</v>
      </c>
      <c r="D14" s="35" t="s">
        <v>72</v>
      </c>
      <c r="E14" s="35" t="s">
        <v>130</v>
      </c>
      <c r="F14" s="35"/>
      <c r="G14" s="49" t="str">
        <f aca="false">IFERROR(INDEX('PR Plan'!$M$5:$M$18,MATCH(E14,'PR Plan'!$A$5:$A$18,0)),"-")</f>
        <v>Not started</v>
      </c>
      <c r="H14" s="49" t="str">
        <f aca="false">IFERROR(INDEX('PR Plan'!$L$5:$L$18,MATCH(E14,'PR Plan'!$A$5:$A$18,0)),"-")</f>
        <v>Day 2 - Mon Oct 12</v>
      </c>
    </row>
    <row r="15" customFormat="false" ht="15" hidden="false" customHeight="true" outlineLevel="0" collapsed="false">
      <c r="A15" s="32" t="s">
        <v>210</v>
      </c>
      <c r="B15" s="33" t="s">
        <v>200</v>
      </c>
      <c r="C15" s="33" t="s">
        <v>211</v>
      </c>
      <c r="D15" s="35" t="s">
        <v>72</v>
      </c>
      <c r="E15" s="35" t="s">
        <v>130</v>
      </c>
      <c r="F15" s="35"/>
      <c r="G15" s="49" t="str">
        <f aca="false">IFERROR(INDEX('PR Plan'!$M$5:$M$18,MATCH(E15,'PR Plan'!$A$5:$A$18,0)),"-")</f>
        <v>Not started</v>
      </c>
      <c r="H15" s="49" t="str">
        <f aca="false">IFERROR(INDEX('PR Plan'!$L$5:$L$18,MATCH(E15,'PR Plan'!$A$5:$A$18,0)),"-")</f>
        <v>Day 2 - Mon Oct 12</v>
      </c>
    </row>
    <row r="16" customFormat="false" ht="15" hidden="false" customHeight="true" outlineLevel="0" collapsed="false">
      <c r="A16" s="32" t="s">
        <v>212</v>
      </c>
      <c r="B16" s="33" t="s">
        <v>213</v>
      </c>
      <c r="C16" s="33" t="s">
        <v>214</v>
      </c>
      <c r="D16" s="35" t="s">
        <v>72</v>
      </c>
      <c r="E16" s="35" t="s">
        <v>102</v>
      </c>
      <c r="F16" s="35" t="s">
        <v>95</v>
      </c>
      <c r="G16" s="49" t="str">
        <f aca="false">IFERROR(INDEX('PR Plan'!$M$5:$M$18,MATCH(E16,'PR Plan'!$A$5:$A$18,0)),"-")</f>
        <v>Not started</v>
      </c>
      <c r="H16" s="49" t="str">
        <f aca="false">IFERROR(INDEX('PR Plan'!$L$5:$L$18,MATCH(E16,'PR Plan'!$A$5:$A$18,0)),"-")</f>
        <v>Day 1 - Sun Oct 11</v>
      </c>
    </row>
    <row r="17" customFormat="false" ht="15" hidden="false" customHeight="true" outlineLevel="0" collapsed="false">
      <c r="A17" s="32" t="s">
        <v>215</v>
      </c>
      <c r="B17" s="33" t="s">
        <v>213</v>
      </c>
      <c r="C17" s="33" t="s">
        <v>216</v>
      </c>
      <c r="D17" s="35" t="s">
        <v>72</v>
      </c>
      <c r="E17" s="35" t="s">
        <v>102</v>
      </c>
      <c r="F17" s="35" t="s">
        <v>123</v>
      </c>
      <c r="G17" s="49" t="str">
        <f aca="false">IFERROR(INDEX('PR Plan'!$M$5:$M$18,MATCH(E17,'PR Plan'!$A$5:$A$18,0)),"-")</f>
        <v>Not started</v>
      </c>
      <c r="H17" s="49" t="str">
        <f aca="false">IFERROR(INDEX('PR Plan'!$L$5:$L$18,MATCH(E17,'PR Plan'!$A$5:$A$18,0)),"-")</f>
        <v>Day 1 - Sun Oct 11</v>
      </c>
    </row>
    <row r="18" customFormat="false" ht="15" hidden="false" customHeight="true" outlineLevel="0" collapsed="false">
      <c r="A18" s="32" t="s">
        <v>217</v>
      </c>
      <c r="B18" s="33" t="s">
        <v>213</v>
      </c>
      <c r="C18" s="33" t="s">
        <v>218</v>
      </c>
      <c r="D18" s="35" t="s">
        <v>72</v>
      </c>
      <c r="E18" s="35" t="s">
        <v>102</v>
      </c>
      <c r="F18" s="35" t="s">
        <v>109</v>
      </c>
      <c r="G18" s="49" t="str">
        <f aca="false">IFERROR(INDEX('PR Plan'!$M$5:$M$18,MATCH(E18,'PR Plan'!$A$5:$A$18,0)),"-")</f>
        <v>Not started</v>
      </c>
      <c r="H18" s="49" t="str">
        <f aca="false">IFERROR(INDEX('PR Plan'!$L$5:$L$18,MATCH(E18,'PR Plan'!$A$5:$A$18,0)),"-")</f>
        <v>Day 1 - Sun Oct 11</v>
      </c>
    </row>
    <row r="19" customFormat="false" ht="15" hidden="false" customHeight="true" outlineLevel="0" collapsed="false">
      <c r="A19" s="32" t="s">
        <v>219</v>
      </c>
      <c r="B19" s="33" t="s">
        <v>213</v>
      </c>
      <c r="C19" s="33" t="s">
        <v>220</v>
      </c>
      <c r="D19" s="35" t="s">
        <v>72</v>
      </c>
      <c r="E19" s="35" t="s">
        <v>109</v>
      </c>
      <c r="F19" s="35"/>
      <c r="G19" s="49" t="str">
        <f aca="false">IFERROR(INDEX('PR Plan'!$M$5:$M$18,MATCH(E19,'PR Plan'!$A$5:$A$18,0)),"-")</f>
        <v>Not started</v>
      </c>
      <c r="H19" s="49" t="str">
        <f aca="false">IFERROR(INDEX('PR Plan'!$L$5:$L$18,MATCH(E19,'PR Plan'!$A$5:$A$18,0)),"-")</f>
        <v>Day 1 - Sun Oct 11</v>
      </c>
    </row>
    <row r="20" customFormat="false" ht="15" hidden="false" customHeight="true" outlineLevel="0" collapsed="false">
      <c r="A20" s="32" t="s">
        <v>221</v>
      </c>
      <c r="B20" s="33" t="s">
        <v>222</v>
      </c>
      <c r="C20" s="33" t="s">
        <v>223</v>
      </c>
      <c r="D20" s="35" t="s">
        <v>72</v>
      </c>
      <c r="E20" s="35" t="s">
        <v>109</v>
      </c>
      <c r="F20" s="35" t="s">
        <v>123</v>
      </c>
      <c r="G20" s="49" t="str">
        <f aca="false">IFERROR(INDEX('PR Plan'!$M$5:$M$18,MATCH(E20,'PR Plan'!$A$5:$A$18,0)),"-")</f>
        <v>Not started</v>
      </c>
      <c r="H20" s="49" t="str">
        <f aca="false">IFERROR(INDEX('PR Plan'!$L$5:$L$18,MATCH(E20,'PR Plan'!$A$5:$A$18,0)),"-")</f>
        <v>Day 1 - Sun Oct 11</v>
      </c>
    </row>
    <row r="21" customFormat="false" ht="15" hidden="false" customHeight="true" outlineLevel="0" collapsed="false">
      <c r="A21" s="32" t="s">
        <v>224</v>
      </c>
      <c r="B21" s="33" t="s">
        <v>222</v>
      </c>
      <c r="C21" s="33" t="s">
        <v>225</v>
      </c>
      <c r="D21" s="35" t="s">
        <v>72</v>
      </c>
      <c r="E21" s="35" t="s">
        <v>109</v>
      </c>
      <c r="F21" s="35"/>
      <c r="G21" s="49" t="str">
        <f aca="false">IFERROR(INDEX('PR Plan'!$M$5:$M$18,MATCH(E21,'PR Plan'!$A$5:$A$18,0)),"-")</f>
        <v>Not started</v>
      </c>
      <c r="H21" s="49" t="str">
        <f aca="false">IFERROR(INDEX('PR Plan'!$L$5:$L$18,MATCH(E21,'PR Plan'!$A$5:$A$18,0)),"-")</f>
        <v>Day 1 - Sun Oct 11</v>
      </c>
    </row>
    <row r="22" customFormat="false" ht="15" hidden="false" customHeight="true" outlineLevel="0" collapsed="false">
      <c r="A22" s="32" t="s">
        <v>226</v>
      </c>
      <c r="B22" s="33" t="s">
        <v>222</v>
      </c>
      <c r="C22" s="33" t="s">
        <v>227</v>
      </c>
      <c r="D22" s="35" t="s">
        <v>72</v>
      </c>
      <c r="E22" s="35" t="s">
        <v>109</v>
      </c>
      <c r="F22" s="35" t="s">
        <v>79</v>
      </c>
      <c r="G22" s="49" t="str">
        <f aca="false">IFERROR(INDEX('PR Plan'!$M$5:$M$18,MATCH(E22,'PR Plan'!$A$5:$A$18,0)),"-")</f>
        <v>Not started</v>
      </c>
      <c r="H22" s="49" t="str">
        <f aca="false">IFERROR(INDEX('PR Plan'!$L$5:$L$18,MATCH(E22,'PR Plan'!$A$5:$A$18,0)),"-")</f>
        <v>Day 1 - Sun Oct 11</v>
      </c>
    </row>
    <row r="23" customFormat="false" ht="15" hidden="false" customHeight="true" outlineLevel="0" collapsed="false">
      <c r="A23" s="32" t="s">
        <v>228</v>
      </c>
      <c r="B23" s="33" t="s">
        <v>229</v>
      </c>
      <c r="C23" s="33" t="s">
        <v>230</v>
      </c>
      <c r="D23" s="35" t="s">
        <v>72</v>
      </c>
      <c r="E23" s="35" t="s">
        <v>109</v>
      </c>
      <c r="F23" s="35" t="s">
        <v>123</v>
      </c>
      <c r="G23" s="49" t="str">
        <f aca="false">IFERROR(INDEX('PR Plan'!$M$5:$M$18,MATCH(E23,'PR Plan'!$A$5:$A$18,0)),"-")</f>
        <v>Not started</v>
      </c>
      <c r="H23" s="49" t="str">
        <f aca="false">IFERROR(INDEX('PR Plan'!$L$5:$L$18,MATCH(E23,'PR Plan'!$A$5:$A$18,0)),"-")</f>
        <v>Day 1 - Sun Oct 11</v>
      </c>
    </row>
    <row r="24" customFormat="false" ht="15" hidden="false" customHeight="true" outlineLevel="0" collapsed="false">
      <c r="A24" s="32" t="s">
        <v>231</v>
      </c>
      <c r="B24" s="33" t="s">
        <v>229</v>
      </c>
      <c r="C24" s="33" t="s">
        <v>232</v>
      </c>
      <c r="D24" s="35" t="s">
        <v>72</v>
      </c>
      <c r="E24" s="35" t="s">
        <v>109</v>
      </c>
      <c r="F24" s="35"/>
      <c r="G24" s="49" t="str">
        <f aca="false">IFERROR(INDEX('PR Plan'!$M$5:$M$18,MATCH(E24,'PR Plan'!$A$5:$A$18,0)),"-")</f>
        <v>Not started</v>
      </c>
      <c r="H24" s="49" t="str">
        <f aca="false">IFERROR(INDEX('PR Plan'!$L$5:$L$18,MATCH(E24,'PR Plan'!$A$5:$A$18,0)),"-")</f>
        <v>Day 1 - Sun Oct 11</v>
      </c>
    </row>
    <row r="25" customFormat="false" ht="15" hidden="false" customHeight="true" outlineLevel="0" collapsed="false">
      <c r="A25" s="32" t="s">
        <v>233</v>
      </c>
      <c r="B25" s="33" t="s">
        <v>229</v>
      </c>
      <c r="C25" s="33" t="s">
        <v>234</v>
      </c>
      <c r="D25" s="35" t="s">
        <v>72</v>
      </c>
      <c r="E25" s="35" t="s">
        <v>109</v>
      </c>
      <c r="F25" s="35" t="s">
        <v>79</v>
      </c>
      <c r="G25" s="49" t="str">
        <f aca="false">IFERROR(INDEX('PR Plan'!$M$5:$M$18,MATCH(E25,'PR Plan'!$A$5:$A$18,0)),"-")</f>
        <v>Not started</v>
      </c>
      <c r="H25" s="49" t="str">
        <f aca="false">IFERROR(INDEX('PR Plan'!$L$5:$L$18,MATCH(E25,'PR Plan'!$A$5:$A$18,0)),"-")</f>
        <v>Day 1 - Sun Oct 11</v>
      </c>
    </row>
    <row r="26" customFormat="false" ht="15" hidden="false" customHeight="true" outlineLevel="0" collapsed="false">
      <c r="A26" s="32" t="s">
        <v>235</v>
      </c>
      <c r="B26" s="33" t="s">
        <v>236</v>
      </c>
      <c r="C26" s="33" t="s">
        <v>237</v>
      </c>
      <c r="D26" s="35" t="s">
        <v>72</v>
      </c>
      <c r="E26" s="35" t="s">
        <v>116</v>
      </c>
      <c r="F26" s="35"/>
      <c r="G26" s="49" t="str">
        <f aca="false">IFERROR(INDEX('PR Plan'!$M$5:$M$18,MATCH(E26,'PR Plan'!$A$5:$A$18,0)),"-")</f>
        <v>Not started</v>
      </c>
      <c r="H26" s="49" t="str">
        <f aca="false">IFERROR(INDEX('PR Plan'!$L$5:$L$18,MATCH(E26,'PR Plan'!$A$5:$A$18,0)),"-")</f>
        <v>Day 2 - Mon Oct 12</v>
      </c>
    </row>
    <row r="27" customFormat="false" ht="15" hidden="false" customHeight="true" outlineLevel="0" collapsed="false">
      <c r="A27" s="32" t="s">
        <v>238</v>
      </c>
      <c r="B27" s="33" t="s">
        <v>236</v>
      </c>
      <c r="C27" s="33" t="s">
        <v>239</v>
      </c>
      <c r="D27" s="35" t="s">
        <v>72</v>
      </c>
      <c r="E27" s="35" t="s">
        <v>116</v>
      </c>
      <c r="F27" s="35" t="s">
        <v>123</v>
      </c>
      <c r="G27" s="49" t="str">
        <f aca="false">IFERROR(INDEX('PR Plan'!$M$5:$M$18,MATCH(E27,'PR Plan'!$A$5:$A$18,0)),"-")</f>
        <v>Not started</v>
      </c>
      <c r="H27" s="49" t="str">
        <f aca="false">IFERROR(INDEX('PR Plan'!$L$5:$L$18,MATCH(E27,'PR Plan'!$A$5:$A$18,0)),"-")</f>
        <v>Day 2 - Mon Oct 12</v>
      </c>
    </row>
    <row r="28" customFormat="false" ht="15" hidden="false" customHeight="true" outlineLevel="0" collapsed="false">
      <c r="A28" s="32" t="s">
        <v>240</v>
      </c>
      <c r="B28" s="33" t="s">
        <v>236</v>
      </c>
      <c r="C28" s="33" t="s">
        <v>241</v>
      </c>
      <c r="D28" s="35" t="s">
        <v>72</v>
      </c>
      <c r="E28" s="35" t="s">
        <v>116</v>
      </c>
      <c r="F28" s="35" t="s">
        <v>109</v>
      </c>
      <c r="G28" s="49" t="str">
        <f aca="false">IFERROR(INDEX('PR Plan'!$M$5:$M$18,MATCH(E28,'PR Plan'!$A$5:$A$18,0)),"-")</f>
        <v>Not started</v>
      </c>
      <c r="H28" s="49" t="str">
        <f aca="false">IFERROR(INDEX('PR Plan'!$L$5:$L$18,MATCH(E28,'PR Plan'!$A$5:$A$18,0)),"-")</f>
        <v>Day 2 - Mon Oct 12</v>
      </c>
    </row>
    <row r="29" customFormat="false" ht="15" hidden="false" customHeight="true" outlineLevel="0" collapsed="false">
      <c r="A29" s="32" t="s">
        <v>242</v>
      </c>
      <c r="B29" s="33" t="s">
        <v>236</v>
      </c>
      <c r="C29" s="33" t="s">
        <v>243</v>
      </c>
      <c r="D29" s="35" t="s">
        <v>72</v>
      </c>
      <c r="E29" s="35" t="s">
        <v>130</v>
      </c>
      <c r="F29" s="35" t="s">
        <v>116</v>
      </c>
      <c r="G29" s="49" t="str">
        <f aca="false">IFERROR(INDEX('PR Plan'!$M$5:$M$18,MATCH(E29,'PR Plan'!$A$5:$A$18,0)),"-")</f>
        <v>Not started</v>
      </c>
      <c r="H29" s="49" t="str">
        <f aca="false">IFERROR(INDEX('PR Plan'!$L$5:$L$18,MATCH(E29,'PR Plan'!$A$5:$A$18,0)),"-")</f>
        <v>Day 2 - Mon Oct 12</v>
      </c>
    </row>
    <row r="30" customFormat="false" ht="15" hidden="false" customHeight="true" outlineLevel="0" collapsed="false">
      <c r="A30" s="32" t="s">
        <v>244</v>
      </c>
      <c r="B30" s="33" t="s">
        <v>245</v>
      </c>
      <c r="C30" s="33" t="s">
        <v>246</v>
      </c>
      <c r="D30" s="35" t="s">
        <v>72</v>
      </c>
      <c r="E30" s="35" t="s">
        <v>138</v>
      </c>
      <c r="F30" s="35" t="s">
        <v>95</v>
      </c>
      <c r="G30" s="49" t="str">
        <f aca="false">IFERROR(INDEX('PR Plan'!$M$5:$M$18,MATCH(E30,'PR Plan'!$A$5:$A$18,0)),"-")</f>
        <v>Not started</v>
      </c>
      <c r="H30" s="49" t="str">
        <f aca="false">IFERROR(INDEX('PR Plan'!$L$5:$L$18,MATCH(E30,'PR Plan'!$A$5:$A$18,0)),"-")</f>
        <v>Day 2 - Mon Oct 12</v>
      </c>
    </row>
    <row r="31" customFormat="false" ht="15" hidden="false" customHeight="true" outlineLevel="0" collapsed="false">
      <c r="A31" s="32" t="s">
        <v>247</v>
      </c>
      <c r="B31" s="33" t="s">
        <v>245</v>
      </c>
      <c r="C31" s="33" t="s">
        <v>248</v>
      </c>
      <c r="D31" s="35" t="s">
        <v>72</v>
      </c>
      <c r="E31" s="35" t="s">
        <v>95</v>
      </c>
      <c r="F31" s="35" t="s">
        <v>138</v>
      </c>
      <c r="G31" s="49" t="str">
        <f aca="false">IFERROR(INDEX('PR Plan'!$M$5:$M$18,MATCH(E31,'PR Plan'!$A$5:$A$18,0)),"-")</f>
        <v>Not started</v>
      </c>
      <c r="H31" s="49" t="str">
        <f aca="false">IFERROR(INDEX('PR Plan'!$L$5:$L$18,MATCH(E31,'PR Plan'!$A$5:$A$18,0)),"-")</f>
        <v>Day 1 - Sun Oct 11</v>
      </c>
    </row>
    <row r="32" customFormat="false" ht="15" hidden="false" customHeight="true" outlineLevel="0" collapsed="false">
      <c r="A32" s="32" t="s">
        <v>249</v>
      </c>
      <c r="B32" s="33" t="s">
        <v>245</v>
      </c>
      <c r="C32" s="33" t="s">
        <v>250</v>
      </c>
      <c r="D32" s="35" t="s">
        <v>72</v>
      </c>
      <c r="E32" s="35" t="s">
        <v>138</v>
      </c>
      <c r="F32" s="35"/>
      <c r="G32" s="49" t="str">
        <f aca="false">IFERROR(INDEX('PR Plan'!$M$5:$M$18,MATCH(E32,'PR Plan'!$A$5:$A$18,0)),"-")</f>
        <v>Not started</v>
      </c>
      <c r="H32" s="49" t="str">
        <f aca="false">IFERROR(INDEX('PR Plan'!$L$5:$L$18,MATCH(E32,'PR Plan'!$A$5:$A$18,0)),"-")</f>
        <v>Day 2 - Mon Oct 12</v>
      </c>
    </row>
    <row r="33" customFormat="false" ht="15" hidden="false" customHeight="true" outlineLevel="0" collapsed="false">
      <c r="A33" s="32" t="s">
        <v>251</v>
      </c>
      <c r="B33" s="33" t="s">
        <v>245</v>
      </c>
      <c r="C33" s="33" t="s">
        <v>252</v>
      </c>
      <c r="D33" s="35" t="s">
        <v>198</v>
      </c>
      <c r="E33" s="35" t="s">
        <v>138</v>
      </c>
      <c r="F33" s="35"/>
      <c r="G33" s="49" t="str">
        <f aca="false">IFERROR(INDEX('PR Plan'!$M$5:$M$18,MATCH(E33,'PR Plan'!$A$5:$A$18,0)),"-")</f>
        <v>Not started</v>
      </c>
      <c r="H33" s="49" t="str">
        <f aca="false">IFERROR(INDEX('PR Plan'!$L$5:$L$18,MATCH(E33,'PR Plan'!$A$5:$A$18,0)),"-")</f>
        <v>Day 2 - Mon Oct 12</v>
      </c>
    </row>
    <row r="34" customFormat="false" ht="15" hidden="false" customHeight="true" outlineLevel="0" collapsed="false">
      <c r="A34" s="32" t="s">
        <v>253</v>
      </c>
      <c r="B34" s="33" t="s">
        <v>245</v>
      </c>
      <c r="C34" s="33" t="s">
        <v>254</v>
      </c>
      <c r="D34" s="35" t="s">
        <v>198</v>
      </c>
      <c r="E34" s="35" t="s">
        <v>138</v>
      </c>
      <c r="F34" s="35" t="s">
        <v>102</v>
      </c>
      <c r="G34" s="49" t="str">
        <f aca="false">IFERROR(INDEX('PR Plan'!$M$5:$M$18,MATCH(E34,'PR Plan'!$A$5:$A$18,0)),"-")</f>
        <v>Not started</v>
      </c>
      <c r="H34" s="49" t="str">
        <f aca="false">IFERROR(INDEX('PR Plan'!$L$5:$L$18,MATCH(E34,'PR Plan'!$A$5:$A$18,0)),"-")</f>
        <v>Day 2 - Mon Oct 12</v>
      </c>
    </row>
    <row r="35" customFormat="false" ht="15" hidden="false" customHeight="true" outlineLevel="0" collapsed="false">
      <c r="A35" s="32" t="s">
        <v>255</v>
      </c>
      <c r="B35" s="33" t="s">
        <v>256</v>
      </c>
      <c r="C35" s="33" t="s">
        <v>257</v>
      </c>
      <c r="D35" s="35" t="s">
        <v>72</v>
      </c>
      <c r="E35" s="35" t="s">
        <v>145</v>
      </c>
      <c r="F35" s="35"/>
      <c r="G35" s="49" t="str">
        <f aca="false">IFERROR(INDEX('PR Plan'!$M$5:$M$18,MATCH(E35,'PR Plan'!$A$5:$A$18,0)),"-")</f>
        <v>Not started</v>
      </c>
      <c r="H35" s="49" t="str">
        <f aca="false">IFERROR(INDEX('PR Plan'!$L$5:$L$18,MATCH(E35,'PR Plan'!$A$5:$A$18,0)),"-")</f>
        <v>Day 3 - Tue Oct 13 (AM)</v>
      </c>
    </row>
    <row r="36" customFormat="false" ht="15" hidden="false" customHeight="true" outlineLevel="0" collapsed="false">
      <c r="A36" s="32" t="s">
        <v>258</v>
      </c>
      <c r="B36" s="33" t="s">
        <v>256</v>
      </c>
      <c r="C36" s="33" t="s">
        <v>259</v>
      </c>
      <c r="D36" s="35" t="s">
        <v>72</v>
      </c>
      <c r="E36" s="35" t="s">
        <v>145</v>
      </c>
      <c r="F36" s="35"/>
      <c r="G36" s="49" t="str">
        <f aca="false">IFERROR(INDEX('PR Plan'!$M$5:$M$18,MATCH(E36,'PR Plan'!$A$5:$A$18,0)),"-")</f>
        <v>Not started</v>
      </c>
      <c r="H36" s="49" t="str">
        <f aca="false">IFERROR(INDEX('PR Plan'!$L$5:$L$18,MATCH(E36,'PR Plan'!$A$5:$A$18,0)),"-")</f>
        <v>Day 3 - Tue Oct 13 (AM)</v>
      </c>
    </row>
    <row r="37" customFormat="false" ht="15" hidden="false" customHeight="true" outlineLevel="0" collapsed="false">
      <c r="A37" s="32" t="s">
        <v>260</v>
      </c>
      <c r="B37" s="33" t="s">
        <v>256</v>
      </c>
      <c r="C37" s="33" t="s">
        <v>261</v>
      </c>
      <c r="D37" s="35" t="s">
        <v>155</v>
      </c>
      <c r="E37" s="35" t="s">
        <v>145</v>
      </c>
      <c r="F37" s="35"/>
      <c r="G37" s="49" t="str">
        <f aca="false">IFERROR(INDEX('PR Plan'!$M$5:$M$18,MATCH(E37,'PR Plan'!$A$5:$A$18,0)),"-")</f>
        <v>Not started</v>
      </c>
      <c r="H37" s="49" t="str">
        <f aca="false">IFERROR(INDEX('PR Plan'!$L$5:$L$18,MATCH(E37,'PR Plan'!$A$5:$A$18,0)),"-")</f>
        <v>Day 3 - Tue Oct 13 (AM)</v>
      </c>
    </row>
    <row r="38" customFormat="false" ht="15" hidden="false" customHeight="true" outlineLevel="0" collapsed="false">
      <c r="A38" s="32" t="s">
        <v>262</v>
      </c>
      <c r="B38" s="33" t="s">
        <v>263</v>
      </c>
      <c r="C38" s="33" t="s">
        <v>264</v>
      </c>
      <c r="D38" s="35" t="s">
        <v>155</v>
      </c>
      <c r="E38" s="35" t="s">
        <v>152</v>
      </c>
      <c r="F38" s="35"/>
      <c r="G38" s="49" t="str">
        <f aca="false">IFERROR(INDEX('PR Plan'!$M$5:$M$18,MATCH(E38,'PR Plan'!$A$5:$A$18,0)),"-")</f>
        <v>Not started</v>
      </c>
      <c r="H38" s="49" t="str">
        <f aca="false">IFERROR(INDEX('PR Plan'!$L$5:$L$18,MATCH(E38,'PR Plan'!$A$5:$A$18,0)),"-")</f>
        <v>Stretch</v>
      </c>
    </row>
    <row r="39" customFormat="false" ht="15" hidden="false" customHeight="true" outlineLevel="0" collapsed="false">
      <c r="A39" s="32" t="s">
        <v>265</v>
      </c>
      <c r="B39" s="33" t="s">
        <v>263</v>
      </c>
      <c r="C39" s="33" t="s">
        <v>266</v>
      </c>
      <c r="D39" s="35" t="s">
        <v>155</v>
      </c>
      <c r="E39" s="35" t="s">
        <v>152</v>
      </c>
      <c r="F39" s="35" t="s">
        <v>109</v>
      </c>
      <c r="G39" s="49" t="str">
        <f aca="false">IFERROR(INDEX('PR Plan'!$M$5:$M$18,MATCH(E39,'PR Plan'!$A$5:$A$18,0)),"-")</f>
        <v>Not started</v>
      </c>
      <c r="H39" s="49" t="str">
        <f aca="false">IFERROR(INDEX('PR Plan'!$L$5:$L$18,MATCH(E39,'PR Plan'!$A$5:$A$18,0)),"-")</f>
        <v>Stretch</v>
      </c>
    </row>
    <row r="40" customFormat="false" ht="15" hidden="false" customHeight="true" outlineLevel="0" collapsed="false">
      <c r="A40" s="32" t="s">
        <v>267</v>
      </c>
      <c r="B40" s="33" t="s">
        <v>263</v>
      </c>
      <c r="C40" s="33" t="s">
        <v>268</v>
      </c>
      <c r="D40" s="35" t="s">
        <v>198</v>
      </c>
      <c r="E40" s="35" t="s">
        <v>152</v>
      </c>
      <c r="F40" s="35"/>
      <c r="G40" s="49" t="str">
        <f aca="false">IFERROR(INDEX('PR Plan'!$M$5:$M$18,MATCH(E40,'PR Plan'!$A$5:$A$18,0)),"-")</f>
        <v>Not started</v>
      </c>
      <c r="H40" s="49" t="str">
        <f aca="false">IFERROR(INDEX('PR Plan'!$L$5:$L$18,MATCH(E40,'PR Plan'!$A$5:$A$18,0)),"-")</f>
        <v>Stretch</v>
      </c>
    </row>
    <row r="41" customFormat="false" ht="15" hidden="false" customHeight="true" outlineLevel="0" collapsed="false">
      <c r="A41" s="32" t="s">
        <v>269</v>
      </c>
      <c r="B41" s="33" t="s">
        <v>270</v>
      </c>
      <c r="C41" s="33" t="s">
        <v>271</v>
      </c>
      <c r="D41" s="35" t="s">
        <v>155</v>
      </c>
      <c r="E41" s="35" t="s">
        <v>152</v>
      </c>
      <c r="F41" s="35"/>
      <c r="G41" s="49" t="str">
        <f aca="false">IFERROR(INDEX('PR Plan'!$M$5:$M$18,MATCH(E41,'PR Plan'!$A$5:$A$18,0)),"-")</f>
        <v>Not started</v>
      </c>
      <c r="H41" s="49" t="str">
        <f aca="false">IFERROR(INDEX('PR Plan'!$L$5:$L$18,MATCH(E41,'PR Plan'!$A$5:$A$18,0)),"-")</f>
        <v>Stretch</v>
      </c>
    </row>
    <row r="42" customFormat="false" ht="15" hidden="false" customHeight="true" outlineLevel="0" collapsed="false">
      <c r="A42" s="32" t="s">
        <v>272</v>
      </c>
      <c r="B42" s="33" t="s">
        <v>273</v>
      </c>
      <c r="C42" s="33" t="s">
        <v>274</v>
      </c>
      <c r="D42" s="35" t="s">
        <v>72</v>
      </c>
      <c r="E42" s="35" t="s">
        <v>109</v>
      </c>
      <c r="F42" s="35" t="s">
        <v>160</v>
      </c>
      <c r="G42" s="49" t="str">
        <f aca="false">IFERROR(INDEX('PR Plan'!$M$5:$M$18,MATCH(E42,'PR Plan'!$A$5:$A$18,0)),"-")</f>
        <v>Not started</v>
      </c>
      <c r="H42" s="49" t="str">
        <f aca="false">IFERROR(INDEX('PR Plan'!$L$5:$L$18,MATCH(E42,'PR Plan'!$A$5:$A$18,0)),"-")</f>
        <v>Day 1 - Sun Oct 11</v>
      </c>
    </row>
    <row r="43" customFormat="false" ht="15" hidden="false" customHeight="true" outlineLevel="0" collapsed="false">
      <c r="A43" s="32" t="s">
        <v>275</v>
      </c>
      <c r="B43" s="33" t="s">
        <v>273</v>
      </c>
      <c r="C43" s="33" t="s">
        <v>276</v>
      </c>
      <c r="D43" s="35" t="s">
        <v>72</v>
      </c>
      <c r="E43" s="35" t="s">
        <v>109</v>
      </c>
      <c r="F43" s="35"/>
      <c r="G43" s="49" t="str">
        <f aca="false">IFERROR(INDEX('PR Plan'!$M$5:$M$18,MATCH(E43,'PR Plan'!$A$5:$A$18,0)),"-")</f>
        <v>Not started</v>
      </c>
      <c r="H43" s="49" t="str">
        <f aca="false">IFERROR(INDEX('PR Plan'!$L$5:$L$18,MATCH(E43,'PR Plan'!$A$5:$A$18,0)),"-")</f>
        <v>Day 1 - Sun Oct 11</v>
      </c>
    </row>
    <row r="44" customFormat="false" ht="15" hidden="false" customHeight="true" outlineLevel="0" collapsed="false">
      <c r="A44" s="32" t="s">
        <v>277</v>
      </c>
      <c r="B44" s="33" t="s">
        <v>273</v>
      </c>
      <c r="C44" s="33" t="s">
        <v>278</v>
      </c>
      <c r="D44" s="35" t="s">
        <v>72</v>
      </c>
      <c r="E44" s="35" t="s">
        <v>116</v>
      </c>
      <c r="F44" s="35" t="s">
        <v>160</v>
      </c>
      <c r="G44" s="49" t="str">
        <f aca="false">IFERROR(INDEX('PR Plan'!$M$5:$M$18,MATCH(E44,'PR Plan'!$A$5:$A$18,0)),"-")</f>
        <v>Not started</v>
      </c>
      <c r="H44" s="49" t="str">
        <f aca="false">IFERROR(INDEX('PR Plan'!$L$5:$L$18,MATCH(E44,'PR Plan'!$A$5:$A$18,0)),"-")</f>
        <v>Day 2 - Mon Oct 12</v>
      </c>
    </row>
    <row r="45" customFormat="false" ht="15" hidden="false" customHeight="true" outlineLevel="0" collapsed="false">
      <c r="A45" s="32" t="s">
        <v>279</v>
      </c>
      <c r="B45" s="33" t="s">
        <v>273</v>
      </c>
      <c r="C45" s="33" t="s">
        <v>280</v>
      </c>
      <c r="D45" s="35" t="s">
        <v>72</v>
      </c>
      <c r="E45" s="35" t="s">
        <v>116</v>
      </c>
      <c r="F45" s="35"/>
      <c r="G45" s="49" t="str">
        <f aca="false">IFERROR(INDEX('PR Plan'!$M$5:$M$18,MATCH(E45,'PR Plan'!$A$5:$A$18,0)),"-")</f>
        <v>Not started</v>
      </c>
      <c r="H45" s="49" t="str">
        <f aca="false">IFERROR(INDEX('PR Plan'!$L$5:$L$18,MATCH(E45,'PR Plan'!$A$5:$A$18,0)),"-")</f>
        <v>Day 2 - Mon Oct 12</v>
      </c>
    </row>
    <row r="46" customFormat="false" ht="15" hidden="false" customHeight="true" outlineLevel="0" collapsed="false">
      <c r="A46" s="32" t="s">
        <v>281</v>
      </c>
      <c r="B46" s="33" t="s">
        <v>273</v>
      </c>
      <c r="C46" s="33" t="s">
        <v>282</v>
      </c>
      <c r="D46" s="35" t="s">
        <v>72</v>
      </c>
      <c r="E46" s="35" t="s">
        <v>95</v>
      </c>
      <c r="F46" s="35"/>
      <c r="G46" s="49" t="str">
        <f aca="false">IFERROR(INDEX('PR Plan'!$M$5:$M$18,MATCH(E46,'PR Plan'!$A$5:$A$18,0)),"-")</f>
        <v>Not started</v>
      </c>
      <c r="H46" s="49" t="str">
        <f aca="false">IFERROR(INDEX('PR Plan'!$L$5:$L$18,MATCH(E46,'PR Plan'!$A$5:$A$18,0)),"-")</f>
        <v>Day 1 - Sun Oct 11</v>
      </c>
    </row>
    <row r="47" customFormat="false" ht="15" hidden="false" customHeight="true" outlineLevel="0" collapsed="false">
      <c r="A47" s="32" t="s">
        <v>283</v>
      </c>
      <c r="B47" s="33" t="s">
        <v>273</v>
      </c>
      <c r="C47" s="33" t="s">
        <v>284</v>
      </c>
      <c r="D47" s="35" t="s">
        <v>72</v>
      </c>
      <c r="E47" s="35" t="s">
        <v>123</v>
      </c>
      <c r="F47" s="35" t="s">
        <v>160</v>
      </c>
      <c r="G47" s="49" t="str">
        <f aca="false">IFERROR(INDEX('PR Plan'!$M$5:$M$18,MATCH(E47,'PR Plan'!$A$5:$A$18,0)),"-")</f>
        <v>Not started</v>
      </c>
      <c r="H47" s="49" t="str">
        <f aca="false">IFERROR(INDEX('PR Plan'!$L$5:$L$18,MATCH(E47,'PR Plan'!$A$5:$A$18,0)),"-")</f>
        <v>Day 2 - Mon Oct 12</v>
      </c>
    </row>
    <row r="48" customFormat="false" ht="15" hidden="false" customHeight="true" outlineLevel="0" collapsed="false">
      <c r="A48" s="32" t="s">
        <v>285</v>
      </c>
      <c r="B48" s="33" t="s">
        <v>286</v>
      </c>
      <c r="C48" s="33" t="s">
        <v>287</v>
      </c>
      <c r="D48" s="35" t="s">
        <v>72</v>
      </c>
      <c r="E48" s="35" t="s">
        <v>130</v>
      </c>
      <c r="F48" s="35" t="s">
        <v>69</v>
      </c>
      <c r="G48" s="49" t="str">
        <f aca="false">IFERROR(INDEX('PR Plan'!$M$5:$M$18,MATCH(E48,'PR Plan'!$A$5:$A$18,0)),"-")</f>
        <v>Not started</v>
      </c>
      <c r="H48" s="49" t="str">
        <f aca="false">IFERROR(INDEX('PR Plan'!$L$5:$L$18,MATCH(E48,'PR Plan'!$A$5:$A$18,0)),"-")</f>
        <v>Day 2 - Mon Oct 12</v>
      </c>
    </row>
    <row r="49" customFormat="false" ht="15" hidden="false" customHeight="true" outlineLevel="0" collapsed="false">
      <c r="A49" s="32" t="s">
        <v>288</v>
      </c>
      <c r="B49" s="33" t="s">
        <v>286</v>
      </c>
      <c r="C49" s="33" t="s">
        <v>289</v>
      </c>
      <c r="D49" s="35" t="s">
        <v>72</v>
      </c>
      <c r="E49" s="35" t="s">
        <v>79</v>
      </c>
      <c r="F49" s="35"/>
      <c r="G49" s="49" t="str">
        <f aca="false">IFERROR(INDEX('PR Plan'!$M$5:$M$18,MATCH(E49,'PR Plan'!$A$5:$A$18,0)),"-")</f>
        <v>Done</v>
      </c>
      <c r="H49" s="49" t="str">
        <f aca="false">IFERROR(INDEX('PR Plan'!$L$5:$L$18,MATCH(E49,'PR Plan'!$A$5:$A$18,0)),"-")</f>
        <v>Day 1 - Sun Oct 11</v>
      </c>
    </row>
    <row r="50" customFormat="false" ht="15" hidden="false" customHeight="true" outlineLevel="0" collapsed="false">
      <c r="A50" s="32" t="s">
        <v>290</v>
      </c>
      <c r="B50" s="33" t="s">
        <v>286</v>
      </c>
      <c r="C50" s="33" t="s">
        <v>291</v>
      </c>
      <c r="D50" s="35" t="s">
        <v>72</v>
      </c>
      <c r="E50" s="35" t="s">
        <v>116</v>
      </c>
      <c r="F50" s="35"/>
      <c r="G50" s="49" t="str">
        <f aca="false">IFERROR(INDEX('PR Plan'!$M$5:$M$18,MATCH(E50,'PR Plan'!$A$5:$A$18,0)),"-")</f>
        <v>Not started</v>
      </c>
      <c r="H50" s="49" t="str">
        <f aca="false">IFERROR(INDEX('PR Plan'!$L$5:$L$18,MATCH(E50,'PR Plan'!$A$5:$A$18,0)),"-")</f>
        <v>Day 2 - Mon Oct 12</v>
      </c>
    </row>
    <row r="51" customFormat="false" ht="15" hidden="false" customHeight="true" outlineLevel="0" collapsed="false">
      <c r="A51" s="32" t="s">
        <v>292</v>
      </c>
      <c r="B51" s="33" t="s">
        <v>286</v>
      </c>
      <c r="C51" s="33" t="s">
        <v>293</v>
      </c>
      <c r="D51" s="35" t="s">
        <v>72</v>
      </c>
      <c r="E51" s="35" t="s">
        <v>109</v>
      </c>
      <c r="F51" s="35" t="s">
        <v>160</v>
      </c>
      <c r="G51" s="49" t="str">
        <f aca="false">IFERROR(INDEX('PR Plan'!$M$5:$M$18,MATCH(E51,'PR Plan'!$A$5:$A$18,0)),"-")</f>
        <v>Not started</v>
      </c>
      <c r="H51" s="49" t="str">
        <f aca="false">IFERROR(INDEX('PR Plan'!$L$5:$L$18,MATCH(E51,'PR Plan'!$A$5:$A$18,0)),"-")</f>
        <v>Day 1 - Sun Oct 11</v>
      </c>
    </row>
    <row r="52" customFormat="false" ht="15" hidden="false" customHeight="true" outlineLevel="0" collapsed="false">
      <c r="A52" s="32" t="s">
        <v>294</v>
      </c>
      <c r="B52" s="33" t="s">
        <v>286</v>
      </c>
      <c r="C52" s="33" t="s">
        <v>295</v>
      </c>
      <c r="D52" s="35" t="s">
        <v>155</v>
      </c>
      <c r="E52" s="35" t="s">
        <v>109</v>
      </c>
      <c r="F52" s="35"/>
      <c r="G52" s="49" t="str">
        <f aca="false">IFERROR(INDEX('PR Plan'!$M$5:$M$18,MATCH(E52,'PR Plan'!$A$5:$A$18,0)),"-")</f>
        <v>Not started</v>
      </c>
      <c r="H52" s="49" t="str">
        <f aca="false">IFERROR(INDEX('PR Plan'!$L$5:$L$18,MATCH(E52,'PR Plan'!$A$5:$A$18,0)),"-")</f>
        <v>Day 1 - Sun Oct 11</v>
      </c>
    </row>
    <row r="53" customFormat="false" ht="15" hidden="false" customHeight="true" outlineLevel="0" collapsed="false">
      <c r="A53" s="32" t="s">
        <v>296</v>
      </c>
      <c r="B53" s="33" t="s">
        <v>286</v>
      </c>
      <c r="C53" s="33" t="s">
        <v>297</v>
      </c>
      <c r="D53" s="35" t="s">
        <v>198</v>
      </c>
      <c r="E53" s="35" t="s">
        <v>160</v>
      </c>
      <c r="F53" s="35"/>
      <c r="G53" s="49" t="str">
        <f aca="false">IFERROR(INDEX('PR Plan'!$M$5:$M$18,MATCH(E53,'PR Plan'!$A$5:$A$18,0)),"-")</f>
        <v>Not started</v>
      </c>
      <c r="H53" s="49" t="str">
        <f aca="false">IFERROR(INDEX('PR Plan'!$L$5:$L$18,MATCH(E53,'PR Plan'!$A$5:$A$18,0)),"-")</f>
        <v>Day 3 - Tue Oct 13 (AM)</v>
      </c>
    </row>
  </sheetData>
  <autoFilter ref="A4:H53"/>
  <conditionalFormatting sqref="G5:G53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3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298</v>
      </c>
    </row>
    <row r="2" customFormat="false" ht="15" hidden="false" customHeight="true" outlineLevel="0" collapsed="false">
      <c r="A2" s="3" t="s">
        <v>299</v>
      </c>
    </row>
    <row r="4" customFormat="false" ht="30" hidden="false" customHeight="true" outlineLevel="0" collapsed="false">
      <c r="A4" s="31" t="s">
        <v>300</v>
      </c>
      <c r="B4" s="31" t="s">
        <v>301</v>
      </c>
      <c r="C4" s="31" t="s">
        <v>302</v>
      </c>
      <c r="D4" s="31" t="s">
        <v>303</v>
      </c>
      <c r="E4" s="31" t="s">
        <v>304</v>
      </c>
      <c r="F4" s="31" t="s">
        <v>305</v>
      </c>
      <c r="G4" s="31" t="s">
        <v>306</v>
      </c>
    </row>
    <row r="5" customFormat="false" ht="48" hidden="false" customHeight="true" outlineLevel="0" collapsed="false">
      <c r="A5" s="32" t="s">
        <v>307</v>
      </c>
      <c r="B5" s="35" t="s">
        <v>308</v>
      </c>
      <c r="C5" s="50" t="s">
        <v>309</v>
      </c>
      <c r="D5" s="33" t="s">
        <v>310</v>
      </c>
      <c r="E5" s="33" t="s">
        <v>311</v>
      </c>
      <c r="F5" s="33" t="s">
        <v>312</v>
      </c>
      <c r="G5" s="35" t="s">
        <v>116</v>
      </c>
    </row>
    <row r="6" customFormat="false" ht="48" hidden="false" customHeight="true" outlineLevel="0" collapsed="false">
      <c r="A6" s="32" t="s">
        <v>313</v>
      </c>
      <c r="B6" s="35" t="s">
        <v>314</v>
      </c>
      <c r="C6" s="50" t="s">
        <v>315</v>
      </c>
      <c r="D6" s="33" t="s">
        <v>316</v>
      </c>
      <c r="E6" s="33" t="s">
        <v>317</v>
      </c>
      <c r="F6" s="33" t="s">
        <v>318</v>
      </c>
      <c r="G6" s="35" t="s">
        <v>109</v>
      </c>
    </row>
    <row r="7" customFormat="false" ht="48" hidden="false" customHeight="true" outlineLevel="0" collapsed="false">
      <c r="A7" s="32" t="s">
        <v>319</v>
      </c>
      <c r="B7" s="35" t="s">
        <v>320</v>
      </c>
      <c r="C7" s="50" t="s">
        <v>321</v>
      </c>
      <c r="D7" s="33" t="s">
        <v>322</v>
      </c>
      <c r="E7" s="33" t="s">
        <v>323</v>
      </c>
      <c r="F7" s="33" t="s">
        <v>324</v>
      </c>
      <c r="G7" s="35" t="s">
        <v>102</v>
      </c>
    </row>
    <row r="8" customFormat="false" ht="48" hidden="false" customHeight="true" outlineLevel="0" collapsed="false">
      <c r="A8" s="32" t="s">
        <v>325</v>
      </c>
      <c r="B8" s="35" t="s">
        <v>326</v>
      </c>
      <c r="C8" s="50" t="s">
        <v>327</v>
      </c>
      <c r="D8" s="33" t="s">
        <v>328</v>
      </c>
      <c r="E8" s="33" t="s">
        <v>329</v>
      </c>
      <c r="F8" s="33" t="s">
        <v>330</v>
      </c>
      <c r="G8" s="35" t="s">
        <v>95</v>
      </c>
    </row>
    <row r="9" customFormat="false" ht="48" hidden="false" customHeight="true" outlineLevel="0" collapsed="false">
      <c r="A9" s="32" t="s">
        <v>331</v>
      </c>
      <c r="B9" s="35" t="s">
        <v>332</v>
      </c>
      <c r="C9" s="50" t="s">
        <v>333</v>
      </c>
      <c r="D9" s="33" t="s">
        <v>334</v>
      </c>
      <c r="E9" s="33" t="s">
        <v>335</v>
      </c>
      <c r="F9" s="33" t="s">
        <v>336</v>
      </c>
      <c r="G9" s="35" t="s">
        <v>79</v>
      </c>
    </row>
    <row r="10" customFormat="false" ht="48" hidden="false" customHeight="true" outlineLevel="0" collapsed="false">
      <c r="A10" s="32" t="s">
        <v>337</v>
      </c>
      <c r="B10" s="35" t="s">
        <v>338</v>
      </c>
      <c r="C10" s="50" t="s">
        <v>339</v>
      </c>
      <c r="D10" s="33" t="s">
        <v>340</v>
      </c>
      <c r="E10" s="33" t="s">
        <v>341</v>
      </c>
      <c r="F10" s="33" t="s">
        <v>342</v>
      </c>
      <c r="G10" s="35" t="s">
        <v>116</v>
      </c>
    </row>
    <row r="11" customFormat="false" ht="48" hidden="false" customHeight="true" outlineLevel="0" collapsed="false">
      <c r="A11" s="32" t="s">
        <v>343</v>
      </c>
      <c r="B11" s="35" t="s">
        <v>34</v>
      </c>
      <c r="C11" s="50" t="s">
        <v>344</v>
      </c>
      <c r="D11" s="33" t="s">
        <v>345</v>
      </c>
      <c r="E11" s="33" t="s">
        <v>346</v>
      </c>
      <c r="F11" s="33" t="s">
        <v>347</v>
      </c>
      <c r="G11" s="35" t="s">
        <v>130</v>
      </c>
    </row>
    <row r="12" customFormat="false" ht="48" hidden="false" customHeight="true" outlineLevel="0" collapsed="false">
      <c r="A12" s="32" t="s">
        <v>348</v>
      </c>
      <c r="B12" s="35" t="s">
        <v>349</v>
      </c>
      <c r="C12" s="50" t="s">
        <v>350</v>
      </c>
      <c r="D12" s="33" t="s">
        <v>351</v>
      </c>
      <c r="E12" s="33" t="s">
        <v>352</v>
      </c>
      <c r="F12" s="33" t="s">
        <v>353</v>
      </c>
      <c r="G12" s="35" t="s">
        <v>109</v>
      </c>
    </row>
    <row r="13" customFormat="false" ht="48" hidden="false" customHeight="true" outlineLevel="0" collapsed="false">
      <c r="A13" s="32" t="s">
        <v>354</v>
      </c>
      <c r="B13" s="35" t="s">
        <v>355</v>
      </c>
      <c r="C13" s="50" t="s">
        <v>356</v>
      </c>
      <c r="D13" s="33" t="s">
        <v>357</v>
      </c>
      <c r="E13" s="33" t="s">
        <v>358</v>
      </c>
      <c r="F13" s="33" t="s">
        <v>359</v>
      </c>
      <c r="G13" s="35" t="s">
        <v>109</v>
      </c>
    </row>
    <row r="14" customFormat="false" ht="48" hidden="false" customHeight="true" outlineLevel="0" collapsed="false">
      <c r="A14" s="32" t="s">
        <v>360</v>
      </c>
      <c r="B14" s="35" t="s">
        <v>361</v>
      </c>
      <c r="C14" s="50" t="s">
        <v>362</v>
      </c>
      <c r="D14" s="33" t="s">
        <v>363</v>
      </c>
      <c r="E14" s="33" t="s">
        <v>364</v>
      </c>
      <c r="F14" s="33" t="s">
        <v>365</v>
      </c>
      <c r="G14" s="35" t="s">
        <v>79</v>
      </c>
    </row>
    <row r="15" customFormat="false" ht="48" hidden="false" customHeight="true" outlineLevel="0" collapsed="false">
      <c r="A15" s="32" t="s">
        <v>366</v>
      </c>
      <c r="B15" s="35" t="s">
        <v>367</v>
      </c>
      <c r="C15" s="50" t="s">
        <v>368</v>
      </c>
      <c r="D15" s="33" t="s">
        <v>369</v>
      </c>
      <c r="E15" s="33" t="s">
        <v>370</v>
      </c>
      <c r="F15" s="33" t="s">
        <v>371</v>
      </c>
      <c r="G15" s="35" t="s">
        <v>79</v>
      </c>
    </row>
    <row r="16" customFormat="false" ht="48" hidden="false" customHeight="true" outlineLevel="0" collapsed="false">
      <c r="A16" s="32" t="s">
        <v>372</v>
      </c>
      <c r="B16" s="35" t="s">
        <v>373</v>
      </c>
      <c r="C16" s="50" t="s">
        <v>374</v>
      </c>
      <c r="D16" s="33" t="s">
        <v>375</v>
      </c>
      <c r="E16" s="33" t="s">
        <v>376</v>
      </c>
      <c r="F16" s="33" t="s">
        <v>377</v>
      </c>
      <c r="G16" s="35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2026-10-11T08:15:13Z</dcterms:created>
  <dc:creator>openpyxl</dc:creator>
  <dc:description/>
  <dc:language>en-EG</dc:language>
  <cp:lastModifiedBy/>
  <dcterms:modified xsi:type="dcterms:W3CDTF">2026-10-11T09:51:23Z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