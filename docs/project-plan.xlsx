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<sst xmlns="http://schemas.openxmlformats.org/spreadsheetml/2006/main" count="613" uniqueCount="378">
  <si>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</si>
  <si>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</si>
  <si>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</si>
  <si>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</si>
  <si>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</si>
  <si>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</si>
  <si>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</si>
  <si>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</si>
  <si>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</si>
  <si>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</si>
  <si>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</si>
  <si>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</si>
  <si>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</si>
  <si>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</si>
  <si>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</si>
  <si>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</si>
  <si>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</si>
  <si>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</si>
  <si>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</si>
  <si>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</si>
  <si>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</si>
  <si>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</si>
  <si>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</si>
  <si>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</si>
  <si>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</si>
  <si>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</si>
  <si>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</si>
  <si>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</si>
  <si>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</si>
  <si>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</si>
  <si>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</si>
  <si>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</si>
  <si>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</si>
  <si>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</si>
  <si>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</si>
  <si>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</si>
  <si>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</si>
  <si>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</si>
  <si>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</si>
  <si>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</si>
  <si>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</si>
  <si>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</si>
  <si>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</si>
  <si>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</si>
  <si>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</si>
  <si>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</si>
  <si>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</si>
  <si>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</si>
  <si>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</si>
  <si>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</si>
  <si>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</si>
  <si>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</si>
  <si>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</si>
  <si>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</si>
  <si>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</si>
  <si>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</si>
  <si>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</si>
  <si>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</si>
  <si>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</si>
  <si>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</si>
  <si>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</si>
  <si>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</si>
  <si>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</si>
  <si>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</si>
  <si>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</si>
  <si>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</si>
  <si>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</si>
  <si>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</si>
  <si>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</si>
  <si>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</si>
  <si>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</si>
  <si>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</si>
  <si>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</si>
  <si>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</si>
  <si>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</si>
  <si>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</si>
  <si>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</si>
  <si>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</si>
  <si>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</si>
  <si>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</si>
  <si>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</si>
  <si>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</si>
  <si>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</si>
  <si>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</si>
  <si>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</si>
  <si>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</si>
  <si>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Not started</t>
  </si>
  <si>
    <t xml:space="preserve">Design doc reviewed and merged first (PR #2, docs/database-design.md)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</si>
  <si>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</si>
  <si>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</si>
  <si>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</si>
  <si>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</si>
  <si>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</si>
  <si>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</si>
  <si>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</si>
  <si>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</si>
  <si>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</si>
  <si>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</si>
  <si>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</si>
  <si>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</si>
  <si>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</si>
  <si>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</si>
  <si>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</si>
  <si>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</si>
  <si>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</si>
  <si>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</si>
  <si>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Similarity threshold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</si>
  <si>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</si>
  <si>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Top-k choice; how the threshold was picked (eval, not guess); why sources come from retrieval not the LLM; hybrid search as next step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</si>
  <si>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</si>
  <si>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</si>
  <si>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</si>
  <si>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</si>
  <si>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</si>
  <si>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</si>
  <si>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</si>
  <si>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</si>
  <si>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</si>
  <si>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</si>
  <si>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</si>
  <si>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</si>
  <si>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</si>
  <si>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</si>
  <si>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</si>
  <si>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</si>
  <si>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</si>
  <si>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</si>
  <si>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</si>
  <si>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</si>
  <si>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</si>
  <si>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</si>
  <si>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</si>
  <si>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</si>
  <si>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</si>
  <si>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</si>
  <si>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</si>
  <si>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</si>
  <si>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</si>
  <si>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</si>
  <si>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</si>
  <si>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</si>
  <si>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</si>
  <si>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</si>
  <si>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</si>
  <si>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</si>
  <si>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</si>
  <si>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</si>
  <si>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</si>
  <si>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</si>
  <si>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</si>
  <si>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</si>
  <si>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</si>
  <si>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</si>
  <si>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</si>
  <si>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</si>
  <si>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</si>
  <si>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</si>
  <si>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</si>
  <si>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</si>
  <si>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</si>
  <si>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</si>
  <si>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</si>
  <si>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</si>
  <si>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</si>
  <si>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</si>
  <si>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</si>
  <si>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</si>
  <si>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</si>
  <si>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</si>
  <si>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</si>
  <si>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</si>
  <si>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</si>
  <si>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</si>
  <si>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</si>
  <si>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</si>
  <si>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</si>
  <si>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</si>
  <si>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</si>
  <si>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</si>
  <si>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</si>
  <si>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</si>
  <si>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</si>
  <si>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</si>
  <si>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</si>
  <si>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</si>
  <si>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</si>
  <si>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</si>
  <si>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</si>
  <si>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</si>
  <si>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</si>
  <si>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</si>
  <si>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</si>
  <si>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</si>
  <si>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</si>
  <si>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</si>
  <si>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</si>
  <si>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</si>
  <si>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</si>
  <si>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</si>
  <si>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</si>
  <si>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</si>
  <si>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</si>
  <si>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</si>
  <si>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</si>
  <si>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</si>
  <si>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</si>
  <si>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</si>
  <si>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</si>
  <si>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</si>
  <si>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</si>
  <si>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</si>
  <si>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</si>
  <si>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</si>
  <si>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</si>
  <si>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</si>
  <si>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</si>
  <si>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</si>
  <si>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</si>
  <si>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</si>
  <si>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</si>
  <si>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</si>
  <si>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</si>
  <si>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</si>
  <si>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</si>
  <si>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</si>
  <si>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</si>
  <si>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</si>
  <si>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</si>
  <si>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</si>
  <si>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</si>
  <si>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</si>
  <si>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</si>
  <si>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</si>
  <si>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</si>
  <si>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</si>
  <si>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</si>
  <si>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</si>
  <si>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</si>
  <si>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</si>
  <si>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</si>
  <si>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</si>
  <si>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</si>
  <si>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</si>
  <si>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</si>
  <si>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</si>
  <si>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</si>
  <si>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</si>
  <si>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</si>
  <si>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</si>
  <si>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</si>
  <si>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</si>
  <si>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</si>
  <si>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</si>
  <si>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</si>
  <si>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</si>
  <si>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</si>
  <si>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</si>
  <si>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</si>
  <si>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</si>
  <si>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</si>
  <si>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</si>
  <si>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</si>
  <si>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</si>
  <si>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</si>
  <si>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</si>
  <si>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</si>
  <si>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</si>
  <si>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</si>
  <si>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</si>
  <si>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</si>
  <si>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</si>
  <si>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</si>
  <si>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</si>
  <si>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</si>
  <si>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</si>
  <si>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</si>
  <si>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</si>
  <si>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</si>
  <si>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</si>
  <si>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</si>
  <si>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</si>
  <si>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</si>
  <si>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</si>
  <si>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</si>
  <si>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</si>
  <si>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</si>
  <si>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</si>
  <si>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</si>
  <si>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</si>
  <si>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</si>
  <si>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</si>
  <si>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</si>
  <si>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</si>
  <si>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</si>
  <si>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</si>
  <si>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</si>
  <si>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</si>
  <si>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</si>
  <si>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</si>
  <si>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</si>
  <si>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</si>
  <si>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</si>
  <si>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</si>
  <si>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</si>
  <si>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</si>
  <si>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</si>
  <si>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</si>
  <si>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</si>
  <si>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</si>
  <si>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</si>
  <si>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</si>
  <si>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</si>
  <si>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</si>
  <si>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</si>
  <si>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</si>
  <si>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</si>
  <si>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</si>
  <si>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</si>
  <si>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</si>
  <si>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</si>
  <si>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</si>
  <si>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similarity threshold + sources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</si>
  <si>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</si>
  <si>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</si>
  <si>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Threshold too high -&gt; false 'I don't know'; tuned with eval script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</si>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</sst>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1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0.5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0.0185185185185185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0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1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0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0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86</v>
      </c>
      <c r="N6" s="35" t="n">
        <f aca="false">COUNTIF('Story Coverage'!$E:$E,A6)</f>
        <v>1</v>
      </c>
      <c r="O6" s="38" t="s">
        <v>87</v>
      </c>
    </row>
    <row r="7" customFormat="false" ht="109.5" hidden="false" customHeight="true" outlineLevel="0" collapsed="false">
      <c r="A7" s="32" t="s">
        <v>88</v>
      </c>
      <c r="B7" s="33" t="s">
        <v>89</v>
      </c>
      <c r="C7" s="33" t="s">
        <v>90</v>
      </c>
      <c r="D7" s="34" t="s">
        <v>30</v>
      </c>
      <c r="E7" s="35" t="s">
        <v>72</v>
      </c>
      <c r="F7" s="33" t="s">
        <v>91</v>
      </c>
      <c r="G7" s="33" t="s">
        <v>92</v>
      </c>
      <c r="H7" s="33" t="s">
        <v>93</v>
      </c>
      <c r="I7" s="33" t="s">
        <v>94</v>
      </c>
      <c r="J7" s="35" t="s">
        <v>79</v>
      </c>
      <c r="K7" s="36" t="n">
        <v>0.5</v>
      </c>
      <c r="L7" s="35" t="s">
        <v>19</v>
      </c>
      <c r="M7" s="37" t="s">
        <v>86</v>
      </c>
      <c r="N7" s="35" t="n">
        <f aca="false">COUNTIF('Story Coverage'!$E:$E,A7)</f>
        <v>0</v>
      </c>
      <c r="O7" s="38"/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86</v>
      </c>
      <c r="N8" s="35" t="n">
        <f aca="false">COUNTIF('Story Coverage'!$E:$E,A8)</f>
        <v>2</v>
      </c>
      <c r="O8" s="38"/>
    </row>
    <row r="9" customFormat="false" ht="96.75" hidden="false" customHeight="true" outlineLevel="0" collapsed="false">
      <c r="A9" s="32" t="s">
        <v>102</v>
      </c>
      <c r="B9" s="33" t="s">
        <v>103</v>
      </c>
      <c r="C9" s="33" t="s">
        <v>104</v>
      </c>
      <c r="D9" s="39" t="s">
        <v>31</v>
      </c>
      <c r="E9" s="35" t="s">
        <v>72</v>
      </c>
      <c r="F9" s="33" t="s">
        <v>105</v>
      </c>
      <c r="G9" s="33" t="s">
        <v>106</v>
      </c>
      <c r="H9" s="33" t="s">
        <v>107</v>
      </c>
      <c r="I9" s="33" t="s">
        <v>108</v>
      </c>
      <c r="J9" s="35" t="s">
        <v>95</v>
      </c>
      <c r="K9" s="36" t="n">
        <v>1.5</v>
      </c>
      <c r="L9" s="35" t="s">
        <v>19</v>
      </c>
      <c r="M9" s="37" t="s">
        <v>86</v>
      </c>
      <c r="N9" s="35" t="n">
        <f aca="false">COUNTIF('Story Coverage'!$E:$E,A9)</f>
        <v>3</v>
      </c>
      <c r="O9" s="38"/>
    </row>
    <row r="10" customFormat="false" ht="162" hidden="false" customHeight="true" outlineLevel="0" collapsed="false">
      <c r="A10" s="32" t="s">
        <v>109</v>
      </c>
      <c r="B10" s="33" t="s">
        <v>110</v>
      </c>
      <c r="C10" s="33" t="s">
        <v>111</v>
      </c>
      <c r="D10" s="40" t="s">
        <v>32</v>
      </c>
      <c r="E10" s="35" t="s">
        <v>72</v>
      </c>
      <c r="F10" s="33" t="s">
        <v>112</v>
      </c>
      <c r="G10" s="33" t="s">
        <v>113</v>
      </c>
      <c r="H10" s="33" t="s">
        <v>114</v>
      </c>
      <c r="I10" s="33" t="s">
        <v>115</v>
      </c>
      <c r="J10" s="35" t="s">
        <v>102</v>
      </c>
      <c r="K10" s="36" t="n">
        <v>2.5</v>
      </c>
      <c r="L10" s="35" t="s">
        <v>19</v>
      </c>
      <c r="M10" s="37" t="s">
        <v>86</v>
      </c>
      <c r="N10" s="35" t="n">
        <f aca="false">COUNTIF('Story Coverage'!$E:$E,A10)</f>
        <v>11</v>
      </c>
      <c r="O10" s="38"/>
    </row>
    <row r="11" customFormat="false" ht="187.5" hidden="false" customHeight="true" outlineLevel="0" collapsed="false">
      <c r="A11" s="32" t="s">
        <v>116</v>
      </c>
      <c r="B11" s="33" t="s">
        <v>117</v>
      </c>
      <c r="C11" s="33" t="s">
        <v>118</v>
      </c>
      <c r="D11" s="40" t="s">
        <v>32</v>
      </c>
      <c r="E11" s="35" t="s">
        <v>72</v>
      </c>
      <c r="F11" s="33" t="s">
        <v>119</v>
      </c>
      <c r="G11" s="33" t="s">
        <v>120</v>
      </c>
      <c r="H11" s="33" t="s">
        <v>121</v>
      </c>
      <c r="I11" s="33" t="s">
        <v>122</v>
      </c>
      <c r="J11" s="35" t="s">
        <v>109</v>
      </c>
      <c r="K11" s="36" t="n">
        <v>2.5</v>
      </c>
      <c r="L11" s="35" t="s">
        <v>20</v>
      </c>
      <c r="M11" s="37" t="s">
        <v>86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123</v>
      </c>
      <c r="B12" s="33" t="s">
        <v>124</v>
      </c>
      <c r="C12" s="33" t="s">
        <v>125</v>
      </c>
      <c r="D12" s="41" t="s">
        <v>33</v>
      </c>
      <c r="E12" s="35" t="s">
        <v>72</v>
      </c>
      <c r="F12" s="33" t="s">
        <v>126</v>
      </c>
      <c r="G12" s="33" t="s">
        <v>127</v>
      </c>
      <c r="H12" s="33" t="s">
        <v>128</v>
      </c>
      <c r="I12" s="33" t="s">
        <v>129</v>
      </c>
      <c r="J12" s="35" t="s">
        <v>116</v>
      </c>
      <c r="K12" s="36" t="n">
        <v>3</v>
      </c>
      <c r="L12" s="35" t="s">
        <v>20</v>
      </c>
      <c r="M12" s="37" t="s">
        <v>86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130</v>
      </c>
      <c r="B13" s="33" t="s">
        <v>131</v>
      </c>
      <c r="C13" s="33" t="s">
        <v>132</v>
      </c>
      <c r="D13" s="42" t="s">
        <v>34</v>
      </c>
      <c r="E13" s="35" t="s">
        <v>72</v>
      </c>
      <c r="F13" s="33" t="s">
        <v>133</v>
      </c>
      <c r="G13" s="33" t="s">
        <v>134</v>
      </c>
      <c r="H13" s="33" t="s">
        <v>135</v>
      </c>
      <c r="I13" s="33" t="s">
        <v>136</v>
      </c>
      <c r="J13" s="35" t="s">
        <v>137</v>
      </c>
      <c r="K13" s="36" t="n">
        <v>4</v>
      </c>
      <c r="L13" s="35" t="s">
        <v>20</v>
      </c>
      <c r="M13" s="37" t="s">
        <v>86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138</v>
      </c>
      <c r="B14" s="33" t="s">
        <v>139</v>
      </c>
      <c r="C14" s="33" t="s">
        <v>140</v>
      </c>
      <c r="D14" s="43" t="s">
        <v>35</v>
      </c>
      <c r="E14" s="35" t="s">
        <v>72</v>
      </c>
      <c r="F14" s="33" t="s">
        <v>141</v>
      </c>
      <c r="G14" s="33" t="s">
        <v>142</v>
      </c>
      <c r="H14" s="33" t="s">
        <v>143</v>
      </c>
      <c r="I14" s="33" t="s">
        <v>144</v>
      </c>
      <c r="J14" s="35" t="s">
        <v>95</v>
      </c>
      <c r="K14" s="36" t="n">
        <v>2</v>
      </c>
      <c r="L14" s="35" t="s">
        <v>20</v>
      </c>
      <c r="M14" s="37" t="s">
        <v>86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145</v>
      </c>
      <c r="B15" s="33" t="s">
        <v>146</v>
      </c>
      <c r="C15" s="33" t="s">
        <v>147</v>
      </c>
      <c r="D15" s="43" t="s">
        <v>35</v>
      </c>
      <c r="E15" s="35" t="s">
        <v>72</v>
      </c>
      <c r="F15" s="33" t="s">
        <v>148</v>
      </c>
      <c r="G15" s="33" t="s">
        <v>149</v>
      </c>
      <c r="H15" s="33" t="s">
        <v>150</v>
      </c>
      <c r="I15" s="33" t="s">
        <v>151</v>
      </c>
      <c r="J15" s="35" t="s">
        <v>109</v>
      </c>
      <c r="K15" s="36" t="n">
        <v>1.5</v>
      </c>
      <c r="L15" s="35" t="s">
        <v>21</v>
      </c>
      <c r="M15" s="37" t="s">
        <v>86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152</v>
      </c>
      <c r="B16" s="33" t="s">
        <v>153</v>
      </c>
      <c r="C16" s="33" t="s">
        <v>154</v>
      </c>
      <c r="D16" s="43" t="s">
        <v>35</v>
      </c>
      <c r="E16" s="35" t="s">
        <v>155</v>
      </c>
      <c r="F16" s="33" t="s">
        <v>156</v>
      </c>
      <c r="G16" s="33" t="s">
        <v>157</v>
      </c>
      <c r="H16" s="33" t="s">
        <v>158</v>
      </c>
      <c r="I16" s="33" t="s">
        <v>159</v>
      </c>
      <c r="J16" s="35" t="s">
        <v>116</v>
      </c>
      <c r="K16" s="36" t="n">
        <v>2</v>
      </c>
      <c r="L16" s="35" t="s">
        <v>22</v>
      </c>
      <c r="M16" s="37" t="s">
        <v>86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160</v>
      </c>
      <c r="B17" s="33" t="s">
        <v>161</v>
      </c>
      <c r="C17" s="33" t="s">
        <v>162</v>
      </c>
      <c r="D17" s="44" t="s">
        <v>36</v>
      </c>
      <c r="E17" s="35" t="s">
        <v>72</v>
      </c>
      <c r="F17" s="33" t="s">
        <v>163</v>
      </c>
      <c r="G17" s="33" t="s">
        <v>164</v>
      </c>
      <c r="H17" s="33" t="s">
        <v>165</v>
      </c>
      <c r="I17" s="33" t="s">
        <v>166</v>
      </c>
      <c r="J17" s="35" t="s">
        <v>167</v>
      </c>
      <c r="K17" s="36" t="n">
        <v>1.5</v>
      </c>
      <c r="L17" s="35" t="s">
        <v>21</v>
      </c>
      <c r="M17" s="37" t="s">
        <v>86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168</v>
      </c>
      <c r="B18" s="33" t="s">
        <v>169</v>
      </c>
      <c r="C18" s="33" t="s">
        <v>170</v>
      </c>
      <c r="D18" s="45" t="s">
        <v>37</v>
      </c>
      <c r="E18" s="35" t="s">
        <v>72</v>
      </c>
      <c r="F18" s="33" t="s">
        <v>171</v>
      </c>
      <c r="G18" s="33" t="s">
        <v>172</v>
      </c>
      <c r="H18" s="33" t="s">
        <v>173</v>
      </c>
      <c r="I18" s="33" t="s">
        <v>174</v>
      </c>
      <c r="J18" s="35" t="s">
        <v>175</v>
      </c>
      <c r="K18" s="36" t="n">
        <v>2</v>
      </c>
      <c r="L18" s="35" t="s">
        <v>21</v>
      </c>
      <c r="M18" s="37" t="s">
        <v>86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176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177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178</v>
      </c>
    </row>
    <row r="2" customFormat="false" ht="15" hidden="false" customHeight="true" outlineLevel="0" collapsed="false">
      <c r="A2" s="3" t="s">
        <v>179</v>
      </c>
    </row>
    <row r="4" customFormat="false" ht="30" hidden="false" customHeight="true" outlineLevel="0" collapsed="false">
      <c r="A4" s="31" t="s">
        <v>180</v>
      </c>
      <c r="B4" s="31" t="s">
        <v>181</v>
      </c>
      <c r="C4" s="31" t="s">
        <v>182</v>
      </c>
      <c r="D4" s="31" t="s">
        <v>58</v>
      </c>
      <c r="E4" s="31" t="s">
        <v>183</v>
      </c>
      <c r="F4" s="31" t="s">
        <v>184</v>
      </c>
      <c r="G4" s="31" t="s">
        <v>185</v>
      </c>
      <c r="H4" s="31" t="s">
        <v>186</v>
      </c>
    </row>
    <row r="5" customFormat="false" ht="15" hidden="false" customHeight="true" outlineLevel="0" collapsed="false">
      <c r="A5" s="32" t="s">
        <v>187</v>
      </c>
      <c r="B5" s="33" t="s">
        <v>188</v>
      </c>
      <c r="C5" s="33" t="s">
        <v>189</v>
      </c>
      <c r="D5" s="35" t="s">
        <v>72</v>
      </c>
      <c r="E5" s="35" t="s">
        <v>123</v>
      </c>
      <c r="F5" s="35" t="s">
        <v>116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190</v>
      </c>
      <c r="B6" s="33" t="s">
        <v>188</v>
      </c>
      <c r="C6" s="33" t="s">
        <v>191</v>
      </c>
      <c r="D6" s="35" t="s">
        <v>72</v>
      </c>
      <c r="E6" s="35" t="s">
        <v>123</v>
      </c>
      <c r="F6" s="35" t="s">
        <v>116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192</v>
      </c>
      <c r="B7" s="33" t="s">
        <v>188</v>
      </c>
      <c r="C7" s="33" t="s">
        <v>193</v>
      </c>
      <c r="D7" s="35" t="s">
        <v>72</v>
      </c>
      <c r="E7" s="35" t="s">
        <v>123</v>
      </c>
      <c r="F7" s="35" t="s">
        <v>116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194</v>
      </c>
      <c r="B8" s="33" t="s">
        <v>188</v>
      </c>
      <c r="C8" s="33" t="s">
        <v>195</v>
      </c>
      <c r="D8" s="35" t="s">
        <v>72</v>
      </c>
      <c r="E8" s="35" t="s">
        <v>123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196</v>
      </c>
      <c r="B9" s="33" t="s">
        <v>188</v>
      </c>
      <c r="C9" s="33" t="s">
        <v>197</v>
      </c>
      <c r="D9" s="35" t="s">
        <v>198</v>
      </c>
      <c r="E9" s="35" t="s">
        <v>123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199</v>
      </c>
      <c r="B10" s="33" t="s">
        <v>200</v>
      </c>
      <c r="C10" s="33" t="s">
        <v>201</v>
      </c>
      <c r="D10" s="35" t="s">
        <v>72</v>
      </c>
      <c r="E10" s="35" t="s">
        <v>130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202</v>
      </c>
      <c r="B11" s="33" t="s">
        <v>200</v>
      </c>
      <c r="C11" s="33" t="s">
        <v>203</v>
      </c>
      <c r="D11" s="35" t="s">
        <v>72</v>
      </c>
      <c r="E11" s="35" t="s">
        <v>130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204</v>
      </c>
      <c r="B12" s="33" t="s">
        <v>200</v>
      </c>
      <c r="C12" s="33" t="s">
        <v>205</v>
      </c>
      <c r="D12" s="35" t="s">
        <v>72</v>
      </c>
      <c r="E12" s="35" t="s">
        <v>130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206</v>
      </c>
      <c r="B13" s="33" t="s">
        <v>200</v>
      </c>
      <c r="C13" s="33" t="s">
        <v>207</v>
      </c>
      <c r="D13" s="35" t="s">
        <v>72</v>
      </c>
      <c r="E13" s="35" t="s">
        <v>130</v>
      </c>
      <c r="F13" s="35" t="s">
        <v>109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208</v>
      </c>
      <c r="B14" s="33" t="s">
        <v>200</v>
      </c>
      <c r="C14" s="33" t="s">
        <v>209</v>
      </c>
      <c r="D14" s="35" t="s">
        <v>72</v>
      </c>
      <c r="E14" s="35" t="s">
        <v>130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210</v>
      </c>
      <c r="B15" s="33" t="s">
        <v>200</v>
      </c>
      <c r="C15" s="33" t="s">
        <v>211</v>
      </c>
      <c r="D15" s="35" t="s">
        <v>72</v>
      </c>
      <c r="E15" s="35" t="s">
        <v>130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212</v>
      </c>
      <c r="B16" s="33" t="s">
        <v>213</v>
      </c>
      <c r="C16" s="33" t="s">
        <v>214</v>
      </c>
      <c r="D16" s="35" t="s">
        <v>72</v>
      </c>
      <c r="E16" s="35" t="s">
        <v>102</v>
      </c>
      <c r="F16" s="35" t="s">
        <v>95</v>
      </c>
      <c r="G16" s="49" t="str">
        <f aca="false">IFERROR(INDEX('PR Plan'!$M$5:$M$18,MATCH(E16,'PR Plan'!$A$5:$A$18,0)),"-")</f>
        <v>Not started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215</v>
      </c>
      <c r="B17" s="33" t="s">
        <v>213</v>
      </c>
      <c r="C17" s="33" t="s">
        <v>216</v>
      </c>
      <c r="D17" s="35" t="s">
        <v>72</v>
      </c>
      <c r="E17" s="35" t="s">
        <v>102</v>
      </c>
      <c r="F17" s="35" t="s">
        <v>123</v>
      </c>
      <c r="G17" s="49" t="str">
        <f aca="false">IFERROR(INDEX('PR Plan'!$M$5:$M$18,MATCH(E17,'PR Plan'!$A$5:$A$18,0)),"-")</f>
        <v>Not started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217</v>
      </c>
      <c r="B18" s="33" t="s">
        <v>213</v>
      </c>
      <c r="C18" s="33" t="s">
        <v>218</v>
      </c>
      <c r="D18" s="35" t="s">
        <v>72</v>
      </c>
      <c r="E18" s="35" t="s">
        <v>102</v>
      </c>
      <c r="F18" s="35" t="s">
        <v>109</v>
      </c>
      <c r="G18" s="49" t="str">
        <f aca="false">IFERROR(INDEX('PR Plan'!$M$5:$M$18,MATCH(E18,'PR Plan'!$A$5:$A$18,0)),"-")</f>
        <v>Not started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219</v>
      </c>
      <c r="B19" s="33" t="s">
        <v>213</v>
      </c>
      <c r="C19" s="33" t="s">
        <v>220</v>
      </c>
      <c r="D19" s="35" t="s">
        <v>72</v>
      </c>
      <c r="E19" s="35" t="s">
        <v>109</v>
      </c>
      <c r="F19" s="35"/>
      <c r="G19" s="49" t="str">
        <f aca="false">IFERROR(INDEX('PR Plan'!$M$5:$M$18,MATCH(E19,'PR Plan'!$A$5:$A$18,0)),"-")</f>
        <v>Not started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221</v>
      </c>
      <c r="B20" s="33" t="s">
        <v>222</v>
      </c>
      <c r="C20" s="33" t="s">
        <v>223</v>
      </c>
      <c r="D20" s="35" t="s">
        <v>72</v>
      </c>
      <c r="E20" s="35" t="s">
        <v>109</v>
      </c>
      <c r="F20" s="35" t="s">
        <v>123</v>
      </c>
      <c r="G20" s="49" t="str">
        <f aca="false">IFERROR(INDEX('PR Plan'!$M$5:$M$18,MATCH(E20,'PR Plan'!$A$5:$A$18,0)),"-")</f>
        <v>Not started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224</v>
      </c>
      <c r="B21" s="33" t="s">
        <v>222</v>
      </c>
      <c r="C21" s="33" t="s">
        <v>225</v>
      </c>
      <c r="D21" s="35" t="s">
        <v>72</v>
      </c>
      <c r="E21" s="35" t="s">
        <v>109</v>
      </c>
      <c r="F21" s="35"/>
      <c r="G21" s="49" t="str">
        <f aca="false">IFERROR(INDEX('PR Plan'!$M$5:$M$18,MATCH(E21,'PR Plan'!$A$5:$A$18,0)),"-")</f>
        <v>Not started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226</v>
      </c>
      <c r="B22" s="33" t="s">
        <v>222</v>
      </c>
      <c r="C22" s="33" t="s">
        <v>227</v>
      </c>
      <c r="D22" s="35" t="s">
        <v>72</v>
      </c>
      <c r="E22" s="35" t="s">
        <v>109</v>
      </c>
      <c r="F22" s="35" t="s">
        <v>79</v>
      </c>
      <c r="G22" s="49" t="str">
        <f aca="false">IFERROR(INDEX('PR Plan'!$M$5:$M$18,MATCH(E22,'PR Plan'!$A$5:$A$18,0)),"-")</f>
        <v>Not started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228</v>
      </c>
      <c r="B23" s="33" t="s">
        <v>229</v>
      </c>
      <c r="C23" s="33" t="s">
        <v>230</v>
      </c>
      <c r="D23" s="35" t="s">
        <v>72</v>
      </c>
      <c r="E23" s="35" t="s">
        <v>109</v>
      </c>
      <c r="F23" s="35" t="s">
        <v>123</v>
      </c>
      <c r="G23" s="49" t="str">
        <f aca="false">IFERROR(INDEX('PR Plan'!$M$5:$M$18,MATCH(E23,'PR Plan'!$A$5:$A$18,0)),"-")</f>
        <v>Not started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231</v>
      </c>
      <c r="B24" s="33" t="s">
        <v>229</v>
      </c>
      <c r="C24" s="33" t="s">
        <v>232</v>
      </c>
      <c r="D24" s="35" t="s">
        <v>72</v>
      </c>
      <c r="E24" s="35" t="s">
        <v>109</v>
      </c>
      <c r="F24" s="35"/>
      <c r="G24" s="49" t="str">
        <f aca="false">IFERROR(INDEX('PR Plan'!$M$5:$M$18,MATCH(E24,'PR Plan'!$A$5:$A$18,0)),"-")</f>
        <v>Not started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233</v>
      </c>
      <c r="B25" s="33" t="s">
        <v>229</v>
      </c>
      <c r="C25" s="33" t="s">
        <v>234</v>
      </c>
      <c r="D25" s="35" t="s">
        <v>72</v>
      </c>
      <c r="E25" s="35" t="s">
        <v>109</v>
      </c>
      <c r="F25" s="35" t="s">
        <v>79</v>
      </c>
      <c r="G25" s="49" t="str">
        <f aca="false">IFERROR(INDEX('PR Plan'!$M$5:$M$18,MATCH(E25,'PR Plan'!$A$5:$A$18,0)),"-")</f>
        <v>Not started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235</v>
      </c>
      <c r="B26" s="33" t="s">
        <v>236</v>
      </c>
      <c r="C26" s="33" t="s">
        <v>237</v>
      </c>
      <c r="D26" s="35" t="s">
        <v>72</v>
      </c>
      <c r="E26" s="35" t="s">
        <v>116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238</v>
      </c>
      <c r="B27" s="33" t="s">
        <v>236</v>
      </c>
      <c r="C27" s="33" t="s">
        <v>239</v>
      </c>
      <c r="D27" s="35" t="s">
        <v>72</v>
      </c>
      <c r="E27" s="35" t="s">
        <v>116</v>
      </c>
      <c r="F27" s="35" t="s">
        <v>123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240</v>
      </c>
      <c r="B28" s="33" t="s">
        <v>236</v>
      </c>
      <c r="C28" s="33" t="s">
        <v>241</v>
      </c>
      <c r="D28" s="35" t="s">
        <v>72</v>
      </c>
      <c r="E28" s="35" t="s">
        <v>116</v>
      </c>
      <c r="F28" s="35" t="s">
        <v>109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242</v>
      </c>
      <c r="B29" s="33" t="s">
        <v>236</v>
      </c>
      <c r="C29" s="33" t="s">
        <v>243</v>
      </c>
      <c r="D29" s="35" t="s">
        <v>72</v>
      </c>
      <c r="E29" s="35" t="s">
        <v>130</v>
      </c>
      <c r="F29" s="35" t="s">
        <v>116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244</v>
      </c>
      <c r="B30" s="33" t="s">
        <v>245</v>
      </c>
      <c r="C30" s="33" t="s">
        <v>246</v>
      </c>
      <c r="D30" s="35" t="s">
        <v>72</v>
      </c>
      <c r="E30" s="35" t="s">
        <v>138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247</v>
      </c>
      <c r="B31" s="33" t="s">
        <v>245</v>
      </c>
      <c r="C31" s="33" t="s">
        <v>248</v>
      </c>
      <c r="D31" s="35" t="s">
        <v>72</v>
      </c>
      <c r="E31" s="35" t="s">
        <v>95</v>
      </c>
      <c r="F31" s="35" t="s">
        <v>138</v>
      </c>
      <c r="G31" s="49" t="str">
        <f aca="false">IFERROR(INDEX('PR Plan'!$M$5:$M$18,MATCH(E31,'PR Plan'!$A$5:$A$18,0)),"-")</f>
        <v>Not started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249</v>
      </c>
      <c r="B32" s="33" t="s">
        <v>245</v>
      </c>
      <c r="C32" s="33" t="s">
        <v>250</v>
      </c>
      <c r="D32" s="35" t="s">
        <v>72</v>
      </c>
      <c r="E32" s="35" t="s">
        <v>138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251</v>
      </c>
      <c r="B33" s="33" t="s">
        <v>245</v>
      </c>
      <c r="C33" s="33" t="s">
        <v>252</v>
      </c>
      <c r="D33" s="35" t="s">
        <v>198</v>
      </c>
      <c r="E33" s="35" t="s">
        <v>138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253</v>
      </c>
      <c r="B34" s="33" t="s">
        <v>245</v>
      </c>
      <c r="C34" s="33" t="s">
        <v>254</v>
      </c>
      <c r="D34" s="35" t="s">
        <v>198</v>
      </c>
      <c r="E34" s="35" t="s">
        <v>138</v>
      </c>
      <c r="F34" s="35" t="s">
        <v>102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255</v>
      </c>
      <c r="B35" s="33" t="s">
        <v>256</v>
      </c>
      <c r="C35" s="33" t="s">
        <v>257</v>
      </c>
      <c r="D35" s="35" t="s">
        <v>72</v>
      </c>
      <c r="E35" s="35" t="s">
        <v>145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258</v>
      </c>
      <c r="B36" s="33" t="s">
        <v>256</v>
      </c>
      <c r="C36" s="33" t="s">
        <v>259</v>
      </c>
      <c r="D36" s="35" t="s">
        <v>72</v>
      </c>
      <c r="E36" s="35" t="s">
        <v>145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260</v>
      </c>
      <c r="B37" s="33" t="s">
        <v>256</v>
      </c>
      <c r="C37" s="33" t="s">
        <v>261</v>
      </c>
      <c r="D37" s="35" t="s">
        <v>155</v>
      </c>
      <c r="E37" s="35" t="s">
        <v>145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262</v>
      </c>
      <c r="B38" s="33" t="s">
        <v>263</v>
      </c>
      <c r="C38" s="33" t="s">
        <v>264</v>
      </c>
      <c r="D38" s="35" t="s">
        <v>155</v>
      </c>
      <c r="E38" s="35" t="s">
        <v>152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265</v>
      </c>
      <c r="B39" s="33" t="s">
        <v>263</v>
      </c>
      <c r="C39" s="33" t="s">
        <v>266</v>
      </c>
      <c r="D39" s="35" t="s">
        <v>155</v>
      </c>
      <c r="E39" s="35" t="s">
        <v>152</v>
      </c>
      <c r="F39" s="35" t="s">
        <v>109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267</v>
      </c>
      <c r="B40" s="33" t="s">
        <v>263</v>
      </c>
      <c r="C40" s="33" t="s">
        <v>268</v>
      </c>
      <c r="D40" s="35" t="s">
        <v>198</v>
      </c>
      <c r="E40" s="35" t="s">
        <v>152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269</v>
      </c>
      <c r="B41" s="33" t="s">
        <v>270</v>
      </c>
      <c r="C41" s="33" t="s">
        <v>271</v>
      </c>
      <c r="D41" s="35" t="s">
        <v>155</v>
      </c>
      <c r="E41" s="35" t="s">
        <v>152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272</v>
      </c>
      <c r="B42" s="33" t="s">
        <v>273</v>
      </c>
      <c r="C42" s="33" t="s">
        <v>274</v>
      </c>
      <c r="D42" s="35" t="s">
        <v>72</v>
      </c>
      <c r="E42" s="35" t="s">
        <v>109</v>
      </c>
      <c r="F42" s="35" t="s">
        <v>160</v>
      </c>
      <c r="G42" s="49" t="str">
        <f aca="false">IFERROR(INDEX('PR Plan'!$M$5:$M$18,MATCH(E42,'PR Plan'!$A$5:$A$18,0)),"-")</f>
        <v>Not started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275</v>
      </c>
      <c r="B43" s="33" t="s">
        <v>273</v>
      </c>
      <c r="C43" s="33" t="s">
        <v>276</v>
      </c>
      <c r="D43" s="35" t="s">
        <v>72</v>
      </c>
      <c r="E43" s="35" t="s">
        <v>109</v>
      </c>
      <c r="F43" s="35"/>
      <c r="G43" s="49" t="str">
        <f aca="false">IFERROR(INDEX('PR Plan'!$M$5:$M$18,MATCH(E43,'PR Plan'!$A$5:$A$18,0)),"-")</f>
        <v>Not started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277</v>
      </c>
      <c r="B44" s="33" t="s">
        <v>273</v>
      </c>
      <c r="C44" s="33" t="s">
        <v>278</v>
      </c>
      <c r="D44" s="35" t="s">
        <v>72</v>
      </c>
      <c r="E44" s="35" t="s">
        <v>116</v>
      </c>
      <c r="F44" s="35" t="s">
        <v>160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279</v>
      </c>
      <c r="B45" s="33" t="s">
        <v>273</v>
      </c>
      <c r="C45" s="33" t="s">
        <v>280</v>
      </c>
      <c r="D45" s="35" t="s">
        <v>72</v>
      </c>
      <c r="E45" s="35" t="s">
        <v>116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281</v>
      </c>
      <c r="B46" s="33" t="s">
        <v>273</v>
      </c>
      <c r="C46" s="33" t="s">
        <v>282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Not started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283</v>
      </c>
      <c r="B47" s="33" t="s">
        <v>273</v>
      </c>
      <c r="C47" s="33" t="s">
        <v>284</v>
      </c>
      <c r="D47" s="35" t="s">
        <v>72</v>
      </c>
      <c r="E47" s="35" t="s">
        <v>123</v>
      </c>
      <c r="F47" s="35" t="s">
        <v>160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285</v>
      </c>
      <c r="B48" s="33" t="s">
        <v>286</v>
      </c>
      <c r="C48" s="33" t="s">
        <v>287</v>
      </c>
      <c r="D48" s="35" t="s">
        <v>72</v>
      </c>
      <c r="E48" s="35" t="s">
        <v>130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288</v>
      </c>
      <c r="B49" s="33" t="s">
        <v>286</v>
      </c>
      <c r="C49" s="33" t="s">
        <v>289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Not started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290</v>
      </c>
      <c r="B50" s="33" t="s">
        <v>286</v>
      </c>
      <c r="C50" s="33" t="s">
        <v>291</v>
      </c>
      <c r="D50" s="35" t="s">
        <v>72</v>
      </c>
      <c r="E50" s="35" t="s">
        <v>116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292</v>
      </c>
      <c r="B51" s="33" t="s">
        <v>286</v>
      </c>
      <c r="C51" s="33" t="s">
        <v>293</v>
      </c>
      <c r="D51" s="35" t="s">
        <v>72</v>
      </c>
      <c r="E51" s="35" t="s">
        <v>109</v>
      </c>
      <c r="F51" s="35" t="s">
        <v>160</v>
      </c>
      <c r="G51" s="49" t="str">
        <f aca="false">IFERROR(INDEX('PR Plan'!$M$5:$M$18,MATCH(E51,'PR Plan'!$A$5:$A$18,0)),"-")</f>
        <v>Not started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294</v>
      </c>
      <c r="B52" s="33" t="s">
        <v>286</v>
      </c>
      <c r="C52" s="33" t="s">
        <v>295</v>
      </c>
      <c r="D52" s="35" t="s">
        <v>155</v>
      </c>
      <c r="E52" s="35" t="s">
        <v>109</v>
      </c>
      <c r="F52" s="35"/>
      <c r="G52" s="49" t="str">
        <f aca="false">IFERROR(INDEX('PR Plan'!$M$5:$M$18,MATCH(E52,'PR Plan'!$A$5:$A$18,0)),"-")</f>
        <v>Not started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296</v>
      </c>
      <c r="B53" s="33" t="s">
        <v>286</v>
      </c>
      <c r="C53" s="33" t="s">
        <v>297</v>
      </c>
      <c r="D53" s="35" t="s">
        <v>198</v>
      </c>
      <c r="E53" s="35" t="s">
        <v>160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298</v>
      </c>
    </row>
    <row r="2" customFormat="false" ht="15" hidden="false" customHeight="true" outlineLevel="0" collapsed="false">
      <c r="A2" s="3" t="s">
        <v>299</v>
      </c>
    </row>
    <row r="4" customFormat="false" ht="30" hidden="false" customHeight="true" outlineLevel="0" collapsed="false">
      <c r="A4" s="31" t="s">
        <v>300</v>
      </c>
      <c r="B4" s="31" t="s">
        <v>301</v>
      </c>
      <c r="C4" s="31" t="s">
        <v>302</v>
      </c>
      <c r="D4" s="31" t="s">
        <v>303</v>
      </c>
      <c r="E4" s="31" t="s">
        <v>304</v>
      </c>
      <c r="F4" s="31" t="s">
        <v>305</v>
      </c>
      <c r="G4" s="31" t="s">
        <v>306</v>
      </c>
    </row>
    <row r="5" customFormat="false" ht="48" hidden="false" customHeight="true" outlineLevel="0" collapsed="false">
      <c r="A5" s="32" t="s">
        <v>307</v>
      </c>
      <c r="B5" s="35" t="s">
        <v>308</v>
      </c>
      <c r="C5" s="50" t="s">
        <v>309</v>
      </c>
      <c r="D5" s="33" t="s">
        <v>310</v>
      </c>
      <c r="E5" s="33" t="s">
        <v>311</v>
      </c>
      <c r="F5" s="33" t="s">
        <v>312</v>
      </c>
      <c r="G5" s="35" t="s">
        <v>116</v>
      </c>
    </row>
    <row r="6" customFormat="false" ht="48" hidden="false" customHeight="true" outlineLevel="0" collapsed="false">
      <c r="A6" s="32" t="s">
        <v>313</v>
      </c>
      <c r="B6" s="35" t="s">
        <v>314</v>
      </c>
      <c r="C6" s="50" t="s">
        <v>315</v>
      </c>
      <c r="D6" s="33" t="s">
        <v>316</v>
      </c>
      <c r="E6" s="33" t="s">
        <v>317</v>
      </c>
      <c r="F6" s="33" t="s">
        <v>318</v>
      </c>
      <c r="G6" s="35" t="s">
        <v>109</v>
      </c>
    </row>
    <row r="7" customFormat="false" ht="48" hidden="false" customHeight="true" outlineLevel="0" collapsed="false">
      <c r="A7" s="32" t="s">
        <v>319</v>
      </c>
      <c r="B7" s="35" t="s">
        <v>320</v>
      </c>
      <c r="C7" s="50" t="s">
        <v>321</v>
      </c>
      <c r="D7" s="33" t="s">
        <v>322</v>
      </c>
      <c r="E7" s="33" t="s">
        <v>323</v>
      </c>
      <c r="F7" s="33" t="s">
        <v>324</v>
      </c>
      <c r="G7" s="35" t="s">
        <v>102</v>
      </c>
    </row>
    <row r="8" customFormat="false" ht="48" hidden="false" customHeight="true" outlineLevel="0" collapsed="false">
      <c r="A8" s="32" t="s">
        <v>325</v>
      </c>
      <c r="B8" s="35" t="s">
        <v>326</v>
      </c>
      <c r="C8" s="50" t="s">
        <v>327</v>
      </c>
      <c r="D8" s="33" t="s">
        <v>328</v>
      </c>
      <c r="E8" s="33" t="s">
        <v>329</v>
      </c>
      <c r="F8" s="33" t="s">
        <v>330</v>
      </c>
      <c r="G8" s="35" t="s">
        <v>95</v>
      </c>
    </row>
    <row r="9" customFormat="false" ht="48" hidden="false" customHeight="true" outlineLevel="0" collapsed="false">
      <c r="A9" s="32" t="s">
        <v>331</v>
      </c>
      <c r="B9" s="35" t="s">
        <v>332</v>
      </c>
      <c r="C9" s="50" t="s">
        <v>333</v>
      </c>
      <c r="D9" s="33" t="s">
        <v>334</v>
      </c>
      <c r="E9" s="33" t="s">
        <v>335</v>
      </c>
      <c r="F9" s="33" t="s">
        <v>336</v>
      </c>
      <c r="G9" s="35" t="s">
        <v>79</v>
      </c>
    </row>
    <row r="10" customFormat="false" ht="48" hidden="false" customHeight="true" outlineLevel="0" collapsed="false">
      <c r="A10" s="32" t="s">
        <v>337</v>
      </c>
      <c r="B10" s="35" t="s">
        <v>338</v>
      </c>
      <c r="C10" s="50" t="s">
        <v>339</v>
      </c>
      <c r="D10" s="33" t="s">
        <v>340</v>
      </c>
      <c r="E10" s="33" t="s">
        <v>341</v>
      </c>
      <c r="F10" s="33" t="s">
        <v>342</v>
      </c>
      <c r="G10" s="35" t="s">
        <v>116</v>
      </c>
    </row>
    <row r="11" customFormat="false" ht="48" hidden="false" customHeight="true" outlineLevel="0" collapsed="false">
      <c r="A11" s="32" t="s">
        <v>343</v>
      </c>
      <c r="B11" s="35" t="s">
        <v>34</v>
      </c>
      <c r="C11" s="50" t="s">
        <v>344</v>
      </c>
      <c r="D11" s="33" t="s">
        <v>345</v>
      </c>
      <c r="E11" s="33" t="s">
        <v>346</v>
      </c>
      <c r="F11" s="33" t="s">
        <v>347</v>
      </c>
      <c r="G11" s="35" t="s">
        <v>130</v>
      </c>
    </row>
    <row r="12" customFormat="false" ht="48" hidden="false" customHeight="true" outlineLevel="0" collapsed="false">
      <c r="A12" s="32" t="s">
        <v>348</v>
      </c>
      <c r="B12" s="35" t="s">
        <v>349</v>
      </c>
      <c r="C12" s="50" t="s">
        <v>350</v>
      </c>
      <c r="D12" s="33" t="s">
        <v>351</v>
      </c>
      <c r="E12" s="33" t="s">
        <v>352</v>
      </c>
      <c r="F12" s="33" t="s">
        <v>353</v>
      </c>
      <c r="G12" s="35" t="s">
        <v>109</v>
      </c>
    </row>
    <row r="13" customFormat="false" ht="48" hidden="false" customHeight="true" outlineLevel="0" collapsed="false">
      <c r="A13" s="32" t="s">
        <v>354</v>
      </c>
      <c r="B13" s="35" t="s">
        <v>355</v>
      </c>
      <c r="C13" s="50" t="s">
        <v>356</v>
      </c>
      <c r="D13" s="33" t="s">
        <v>357</v>
      </c>
      <c r="E13" s="33" t="s">
        <v>358</v>
      </c>
      <c r="F13" s="33" t="s">
        <v>359</v>
      </c>
      <c r="G13" s="35" t="s">
        <v>109</v>
      </c>
    </row>
    <row r="14" customFormat="false" ht="48" hidden="false" customHeight="true" outlineLevel="0" collapsed="false">
      <c r="A14" s="32" t="s">
        <v>360</v>
      </c>
      <c r="B14" s="35" t="s">
        <v>361</v>
      </c>
      <c r="C14" s="50" t="s">
        <v>362</v>
      </c>
      <c r="D14" s="33" t="s">
        <v>363</v>
      </c>
      <c r="E14" s="33" t="s">
        <v>364</v>
      </c>
      <c r="F14" s="33" t="s">
        <v>365</v>
      </c>
      <c r="G14" s="35" t="s">
        <v>79</v>
      </c>
    </row>
    <row r="15" customFormat="false" ht="48" hidden="false" customHeight="true" outlineLevel="0" collapsed="false">
      <c r="A15" s="32" t="s">
        <v>366</v>
      </c>
      <c r="B15" s="35" t="s">
        <v>367</v>
      </c>
      <c r="C15" s="50" t="s">
        <v>368</v>
      </c>
      <c r="D15" s="33" t="s">
        <v>369</v>
      </c>
      <c r="E15" s="33" t="s">
        <v>370</v>
      </c>
      <c r="F15" s="33" t="s">
        <v>371</v>
      </c>
      <c r="G15" s="35" t="s">
        <v>79</v>
      </c>
    </row>
    <row r="16" customFormat="false" ht="48" hidden="false" customHeight="true" outlineLevel="0" collapsed="false">
      <c r="A16" s="32" t="s">
        <v>372</v>
      </c>
      <c r="B16" s="35" t="s">
        <v>373</v>
      </c>
      <c r="C16" s="50" t="s">
        <v>374</v>
      </c>
      <c r="D16" s="33" t="s">
        <v>375</v>
      </c>
      <c r="E16" s="33" t="s">
        <v>376</v>
      </c>
      <c r="F16" s="33" t="s">
        <v>377</v>
      </c>
      <c r="G16" s="35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2026-10-11T09:17:12Z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