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 Plan" sheetId="2" state="visible" r:id="rId4"/>
    <sheet name="Story Coverage" sheetId="3" state="visible" r:id="rId5"/>
    <sheet name="Decision Log" sheetId="4" state="visible" r:id="rId6"/>
  </sheets>
  <definedNames>
    <definedName function="false" hidden="true" localSheetId="1" name="_xlnm._FilterDatabase" vbProcedure="false">'PR Plan'!$A$4:$O$19</definedName>
    <definedName function="false" hidden="true" localSheetId="2" name="_xlnm._FilterDatabase" vbProcedure="false">'Story Coverage'!$A$4:$H$54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Plan</author>
  </authors>
  <commentList>
    <comment ref="B18" authorId="0">
      <text>
        <r>
          <rPr>
            <sz val="10"/>
            <rFont val="Arial"/>
            <family val="2"/>
          </rPr>
          <t xml:space="preserve">Assumption: hours you can realistically work each day. Edit to match your schedule.</t>
        </r>
      </text>
    </comment>
  </commentList>
</comments>
</file>

<file path=xl/sharedStrings.xml><?xml version="1.0" encoding="utf-8"?>
<sst xmlns="http://schemas.openxmlformats.org/spreadsheetml/2006/main" count="653" uniqueCount="407">
  <si>
    <t xml:space="preserve">AI Customer Assistant - Delivery Plan</t>
  </si>
  <si>
    <t xml:space="preserve">Hashthink Technologies - Senior AI Engineer assessment. Review: Mon/Tue Oct 12-13, noon PST.</t>
  </si>
  <si>
    <t xml:space="preserve">Progress</t>
  </si>
  <si>
    <t xml:space="preserve">Total PRs</t>
  </si>
  <si>
    <t xml:space="preserve">PRs done</t>
  </si>
  <si>
    <t xml:space="preserve">PRs in progress / review</t>
  </si>
  <si>
    <t xml:space="preserve">PRs blocked</t>
  </si>
  <si>
    <t xml:space="preserve">Total estimated hours</t>
  </si>
  <si>
    <t xml:space="preserve">Hours done</t>
  </si>
  <si>
    <t xml:space="preserve">Progress (hours-weighted)</t>
  </si>
  <si>
    <t xml:space="preserve">User stories mapped</t>
  </si>
  <si>
    <t xml:space="preserve">Must-have stories done</t>
  </si>
  <si>
    <t xml:space="preserve">Must-have stories total</t>
  </si>
  <si>
    <t xml:space="preserve">Capacity vs plan (edit yellow cells)</t>
  </si>
  <si>
    <t xml:space="preserve">Day</t>
  </si>
  <si>
    <t xml:space="preserve">Available hours</t>
  </si>
  <si>
    <t xml:space="preserve">Planned hours</t>
  </si>
  <si>
    <t xml:space="preserve">Buffer</t>
  </si>
  <si>
    <t xml:space="preserve">PRs planned</t>
  </si>
  <si>
    <t xml:space="preserve">Day 1 - Sun Oct 11</t>
  </si>
  <si>
    <t xml:space="preserve">Day 2 - Mon Oct 12</t>
  </si>
  <si>
    <t xml:space="preserve">Day 3 - Tue Oct 13 (AM)</t>
  </si>
  <si>
    <t xml:space="preserve">Stretch</t>
  </si>
  <si>
    <t xml:space="preserve">Total</t>
  </si>
  <si>
    <t xml:space="preserve">Red buffer = over capacity: move Could-scope out of that day's PRs or shift a Should PR to Stretch.</t>
  </si>
  <si>
    <t xml:space="preserve">Hours by phase</t>
  </si>
  <si>
    <t xml:space="preserve">Phase</t>
  </si>
  <si>
    <t xml:space="preserve">Hours</t>
  </si>
  <si>
    <t xml:space="preserve">PRs</t>
  </si>
  <si>
    <t xml:space="preserve">Done</t>
  </si>
  <si>
    <t xml:space="preserve">Foundation</t>
  </si>
  <si>
    <t xml:space="preserve">RAG</t>
  </si>
  <si>
    <t xml:space="preserve">Agent</t>
  </si>
  <si>
    <t xml:space="preserve">Customer UI</t>
  </si>
  <si>
    <t xml:space="preserve">Voice</t>
  </si>
  <si>
    <t xml:space="preserve">Admin</t>
  </si>
  <si>
    <t xml:space="preserve">Hardening</t>
  </si>
  <si>
    <t xml:space="preserve">Delivery</t>
  </si>
  <si>
    <t xml:space="preserve">Legend &amp; workflow</t>
  </si>
  <si>
    <t xml:space="preserve">Yellow fill</t>
  </si>
  <si>
    <t xml:space="preserve">Cells you edit (Status, Notes, available hours).</t>
  </si>
  <si>
    <t xml:space="preserve">Blue text</t>
  </si>
  <si>
    <t xml:space="preserve">Hardcoded input / estimate (hours).</t>
  </si>
  <si>
    <t xml:space="preserve">Green text</t>
  </si>
  <si>
    <t xml:space="preserve">Live lookup from another sheet.</t>
  </si>
  <si>
    <t xml:space="preserve">Status values</t>
  </si>
  <si>
    <t xml:space="preserve">Not started -&gt; In progress -&gt; In review -&gt; Done (or Blocked).</t>
  </si>
  <si>
    <t xml:space="preserve">PR workflow</t>
  </si>
  <si>
    <t xml:space="preserve">Branch from main using the Branch column; one PR per row; merge in Depends-on order.</t>
  </si>
  <si>
    <t xml:space="preserve">PR description</t>
  </si>
  <si>
    <t xml:space="preserve">List the User stories + paste the Definition of done as the test checklist.</t>
  </si>
  <si>
    <t xml:space="preserve">Source docs</t>
  </si>
  <si>
    <t xml:space="preserve">docs/user-stories.md, docs/ui-design-brief.md</t>
  </si>
  <si>
    <t xml:space="preserve">AI Customer Assistant - PR Plan</t>
  </si>
  <si>
    <t xml:space="preserve">One row = one pull request. Edit Status / Notes (yellow columns). Story counts are calculated from the Story Coverage sheet.</t>
  </si>
  <si>
    <t xml:space="preserve">PR #</t>
  </si>
  <si>
    <t xml:space="preserve">Branch</t>
  </si>
  <si>
    <t xml:space="preserve">Title</t>
  </si>
  <si>
    <t xml:space="preserve">Priority</t>
  </si>
  <si>
    <t xml:space="preserve">User stories</t>
  </si>
  <si>
    <t xml:space="preserve">Scope / tasks</t>
  </si>
  <si>
    <t xml:space="preserve">Definition of done (test plan)</t>
  </si>
  <si>
    <t xml:space="preserve">Decisions to defend on the call</t>
  </si>
  <si>
    <t xml:space="preserve">Depends on</t>
  </si>
  <si>
    <t xml:space="preserve">Est. hours</t>
  </si>
  <si>
    <t xml:space="preserve">Planned day</t>
  </si>
  <si>
    <t xml:space="preserve">Status</t>
  </si>
  <si>
    <t xml:space="preserve"># Stories (primary)</t>
  </si>
  <si>
    <t xml:space="preserve">Notes</t>
  </si>
  <si>
    <t xml:space="preserve">PR-01</t>
  </si>
  <si>
    <t xml:space="preserve">chore/01-project-scaffold</t>
  </si>
  <si>
    <t xml:space="preserve">Project scaffold &amp; tooling</t>
  </si>
  <si>
    <t xml:space="preserve">Must</t>
  </si>
  <si>
    <t xml:space="preserve">US-12.1 (env/secrets setup)</t>
  </si>
  <si>
    <t xml:space="preserve">- Next.js (App Router) + TypeScript strict + Tailwind
- Folder layout: app/, lib/agent, lib/rag, lib/db, scripts/, supabase/, docs/
- .env.example (OpenAI key, Supabase URL/service key, model names)
- Typed env loader (zod) that fails fast on missing vars
- Supabase CLI as devDependency, npm scripts (db:start, db:reset, ingest)
- README skeleton</t>
  </si>
  <si>
    <t xml:space="preserve">- npm run dev / build / lint pass
- App fails at boot with a clear message if an env var is missing
- No secret is referenced from client code</t>
  </si>
  <si>
    <t xml:space="preserve">Why Next.js route handlers instead of a separate API; why env validated at boot; why model names are configurable</t>
  </si>
  <si>
    <t xml:space="preserve">-</t>
  </si>
  <si>
    <t xml:space="preserve">Merged: PR #1</t>
  </si>
  <si>
    <t xml:space="preserve">PR-02</t>
  </si>
  <si>
    <t xml:space="preserve">feat/02-database-schema</t>
  </si>
  <si>
    <t xml:space="preserve">Database schema, constraints &amp; RLS</t>
  </si>
  <si>
    <t xml:space="preserve">US-12.2, US-4.3, US-5.3, US-7.2 (DB side)</t>
  </si>
  <si>
    <t xml:space="preserve">- Migration: businesses, documents, chunks (vector 1536 + HNSW), conversations, messages, tool_calls, leads, consultation_requests
- Constraints: email lowercase, email OR phone, unique lead per business, unique consultation (lead, service, time), content_hash dedupe
- match_chunks(business_id, embedding, k, min_similarity) SQL function
- RLS enabled on all tables, no public policies
- Seed: demo business row
- Typed Supabase server client (service role, server-only)</t>
  </si>
  <si>
    <t xml:space="preserve">- supabase db reset applies cleanly
- Inserting duplicate lead / consultation is rejected by Postgres
- anon key cannot select from any table</t>
  </si>
  <si>
    <t xml:space="preserve">Invariants in the schema not the app; why tool_calls separate from messages; HNSW vs IVFFlat; denormalised business_id on chunks; one conversation per session</t>
  </si>
  <si>
    <t xml:space="preserve">Merged: PR #3. Design doc reviewed first (PR #2). Three review rounds; verified as service_role.</t>
  </si>
  <si>
    <t xml:space="preserve">PR-03</t>
  </si>
  <si>
    <t xml:space="preserve">feat/03-sample-clinic-docs</t>
  </si>
  <si>
    <t xml:space="preserve">Sample business knowledge (Lakeside Dental)</t>
  </si>
  <si>
    <t xml:space="preserve">Supports E3 demo</t>
  </si>
  <si>
    <t xml:space="preserve">- 5-6 docs: services.md, pricing.md, hours-location.md, insurance-payment.md, faq.md, policies.pdf (text PDF)
- Realistic headings so heading-aware chunking can be shown
- Include facts used in the demo script (whitening price, hours, insurance)
- Deliberately omit some topics to demo 'I don't know'</t>
  </si>
  <si>
    <t xml:space="preserve">- Docs reviewed for internal consistency (no conflicting prices)
- Each demo question has exactly one clear answer source</t>
  </si>
  <si>
    <t xml:space="preserve">Why test data is designed around the demo questions; why include a PDF</t>
  </si>
  <si>
    <t xml:space="preserve">Merged: PR #4. Data lives in data/sample-clinic/ (not docs/). PDF export needed the Writer filter.</t>
  </si>
  <si>
    <t xml:space="preserve">PR-04</t>
  </si>
  <si>
    <t xml:space="preserve">feat/04-rag-ingestion</t>
  </si>
  <si>
    <t xml:space="preserve">RAG ingestion pipeline</t>
  </si>
  <si>
    <t xml:space="preserve">US-7.1 (backend), US-7.2, US-11.5</t>
  </si>
  <si>
    <t xml:space="preserve">- Text extraction: .txt, .md, text PDF (pdf-parse); detect scanned PDF (no text) -&gt; clear error
- Heading-aware chunker: split by headings/paragraphs, ~400-500 tokens, ~60 token overlap
- Prefix chunk with 'Doc title &gt; Section' before embedding
- Batch embeddings (text-embedding-3-small)
- sha256 content hash dedupe
- Status lifecycle processing -&gt; ready | failed; no partial chunks on failure
- CLI: npm run ingest -- ./docs/sample-clinic</t>
  </si>
  <si>
    <t xml:space="preserve">- Ingesting sample docs creates chunks with embeddings
- Re-ingesting same file is a no-op
- Scanned/empty PDF -&gt; status failed with reason
- Unit tests for the chunker (headings, overlap, long sections)</t>
  </si>
  <si>
    <t xml:space="preserve">Chunk size &amp; overlap reasoning; heading prefix (contextual chunks); why tokens not words; embedding model choice &amp; cost; idempotent ingestion</t>
  </si>
  <si>
    <t xml:space="preserve">Merged: PR #5. Verified with real embeddings (60 chunks). Finding for PR-05: a single similarity threshold can't separate found/not-found.</t>
  </si>
  <si>
    <t xml:space="preserve">PR-05</t>
  </si>
  <si>
    <t xml:space="preserve">feat/05-retrieval</t>
  </si>
  <si>
    <t xml:space="preserve">Retrieval service + search_knowledge</t>
  </si>
  <si>
    <t xml:space="preserve">US-3.1, US-3.2 (data), US-3.3 (threshold)</t>
  </si>
  <si>
    <t xml:space="preserve">- retrieve(businessId, query): embed query -&gt; match_chunks top 6
- Hybrid search (vector + full-text, RRF) and a found rule -&gt; {found:false} when nothing relevant
- Return sources: documentId, title, heading, excerpt, similarity
- Eval script: ~10 demo questions + expected source doc, prints hit/miss</t>
  </si>
  <si>
    <t xml:space="preserve">- Eval script: all answerable questions retrieve the right doc in top 3
- Out-of-scope questions return found:false
- Threshold value documented with the reasoning</t>
  </si>
  <si>
    <t xml:space="preserve">Why hybrid instead of a similarity threshold (measured: 0.27 correct vs 0.42 wrong); RRF; what a 'topic keyword' is and why frame verbs are excluded; sources come from retrieval not the LLM; reranker as the production next step</t>
  </si>
  <si>
    <t xml:space="preserve">Merged: PR #6. Hybrid search (D-13) replaced the planned threshold after measurement. Eval 15/15 found, 6/6 gaps; pgTAP tests added.</t>
  </si>
  <si>
    <t xml:space="preserve">PR-06</t>
  </si>
  <si>
    <t xml:space="preserve">feat/06-agent-tools</t>
  </si>
  <si>
    <t xml:space="preserve">Agent core: prompt + tools + validation</t>
  </si>
  <si>
    <t xml:space="preserve">US-3.3, US-3.4, US-4.1, US-4.2, US-4.3, US-5.1, US-5.2, US-5.3, US-11.1, US-11.2, US-12.4, US-12.5</t>
  </si>
  <si>
    <t xml:space="preserve">- System prompt builder: business profile, current date/time + timezone, grounding rules, safety rules (no diagnosis, emergencies), lead facts block
- Tool registry shared by text &amp; voice: search_knowledge, save_lead, create_consultation_request
- Zod schemas (email, phone normalisation, future date &lt;= 6 months)
- Executors return {ok, data | error}; never throw to the model
- Upsert lead, link conversation.lead_id
- Every call logged to tool_calls (args, result, ok, duration)</t>
  </si>
  <si>
    <t xml:space="preserve">- Unit tests: invalid email/phone/date -&gt; ok:false with readable error
- Duplicate lead/consultation -&gt; returns existing, no new row
- DB error -&gt; ok:false 'temporarily unavailable'
- Tool call rows written for success and failure</t>
  </si>
  <si>
    <t xml:space="preserve">Why these 3 tools; errors as tool results so the model can recover; validation at tool boundary; idempotency; prompt-injection limits via tool scope</t>
  </si>
  <si>
    <t xml:space="preserve">Merged: PR #7. Tools as atomic SQL functions; outcome_unknown for timed-out writes; prompt ordered for caching; R1 tested.</t>
  </si>
  <si>
    <t xml:space="preserve">PR-07</t>
  </si>
  <si>
    <t xml:space="preserve">feat/07-chat-api-memory</t>
  </si>
  <si>
    <t xml:space="preserve">Chat API: agent loop, streaming &amp; memory</t>
  </si>
  <si>
    <t xml:space="preserve">US-1.2 (server), US-6.1, US-6.2, US-6.3, US-11.3, US-11.4, US-12.3</t>
  </si>
  <si>
    <t xml:space="preserve">- POST /api/chat {sessionId, message}: validate (non-empty, &lt;= 2000 chars)
- Get-or-create conversation by (business, session)
- Load last 20 messages + lead facts server-side
- Hand-written loop: model -&gt; tool calls -&gt; results -&gt; repeat (max 5 rounds)
- Stream to client (SSE): text deltas, tool status events, sources, action cards
- Persist user + assistant messages with sources
- Timeouts + friendly fallback on OpenAI failure
- GET /api/conversations/:session for history</t>
  </si>
  <si>
    <t xml:space="preserve">- Follow-up question resolved from history
- Returning session loads previous messages
- Lead known -&gt; assistant doesn't re-ask
- Forced tool loop stops at 5 rounds
- OpenAI error -&gt; friendly message, user msg still saved</t>
  </si>
  <si>
    <t xml:space="preserve">Hand-written loop vs AI SDK; server is source of truth for history; sliding window size &amp; cost; why tool traffic is not replayed; streaming protocol</t>
  </si>
  <si>
    <t xml:space="preserve">Merged: PR #8. Three review rounds: retry lease, one turn per conversation, integration tests.</t>
  </si>
  <si>
    <t xml:space="preserve">PR-08</t>
  </si>
  <si>
    <t xml:space="preserve">feat/08-chat-ui</t>
  </si>
  <si>
    <t xml:space="preserve">Customer chat UI</t>
  </si>
  <si>
    <t xml:space="preserve">US-1.1, US-1.2, US-1.3, US-1.4, US-1.5, US-3.2 (UI), US-11.6</t>
  </si>
  <si>
    <t xml:space="preserve">- Anonymous session id in localStorage
- Welcome state + suggested questions
- Message list: user/assistant bubbles, markdown, streaming caret, thinking + tool status lines
- Source chips + excerpt popover / bottom sheet
- Action cards: lead saved, consultation requested (Pending), failed
- Composer: auto-grow, Enter/Shift+Enter, counter, disabled states
- Error states: send failed + retry, AI unavailable, offline
- Mobile layout, aria-live region
- Chat page at /b/[slug]; business name and description loaded from the server, nothing hardcoded (/ goes to the default business until PR-15)
- Retry offered only on the latest failed message; partial streamed text replaced by the error state
- Collapse repeated 'details saved' cards</t>
  </si>
  <si>
    <t xml:space="preserve">- Demo scenarios 1-5 work end to end in the browser
- Works at 360px width
- Keyboard-only usable
- Retry doesn't duplicate the message</t>
  </si>
  <si>
    <t xml:space="preserve">Why citations rendered from structured data; streaming UX; accessibility basics; per-business route from day one, so PR-15 needs no rework</t>
  </si>
  <si>
    <t xml:space="preserve">Merged: PR #10. Chat API takes the business slug (/b/[slug]). One review round: bounded business cache, history race, reload mid-answer polling, memoized streaming, repeated save_lead deduped in the loop.</t>
  </si>
  <si>
    <t xml:space="preserve">PR-09</t>
  </si>
  <si>
    <t xml:space="preserve">feat/09-realtime-voice</t>
  </si>
  <si>
    <t xml:space="preserve">Realtime voice (OpenAI Realtime + WebRTC)</t>
  </si>
  <si>
    <t xml:space="preserve">US-2.1, US-2.2, US-2.3, US-2.4, US-2.5, US-2.6, US-6.4, US-12.1</t>
  </si>
  <si>
    <t xml:space="preserve">- POST /api/voice/session: the server opens the Realtime call for the browser's SDP offer, with the same instructions + tool definitions + recent history (no key or token in the browser)
- Browser WebRTC: mic track, remote audio, data channel
- Server VAD (natural turn-taking, barge-in)
- Tool relay: data channel function_call -&gt; POST /api/voice/tool -&gt; function_call_output
- Persist user/assistant transcripts (channel=voice)
- Voice panel UI: states, orb, mute, end, permission &amp; error handling</t>
  </si>
  <si>
    <t xml:space="preserve">- Ask a question by voice -&gt; spoken answer with sources in thread
- Interrupt mid-answer works
- Lead + consultation created by voice (same DB rows as text)
- End voice -&gt; typed follow-up has voice context
- API key never in browser network tab</t>
  </si>
  <si>
    <t xml:space="preserve">WebRTC vs WebSocket; ephemeral tokens; one tool layer for both channels; why not Whisper+TTS (latency); voice cost per minute</t>
  </si>
  <si>
    <t xml:space="preserve">PR-06, PR-07</t>
  </si>
  <si>
    <t xml:space="preserve">Not started</t>
  </si>
  <si>
    <t xml:space="preserve">PR-10</t>
  </si>
  <si>
    <t xml:space="preserve">feat/10-admin-knowledge-base</t>
  </si>
  <si>
    <t xml:space="preserve">Admin shell + knowledge base</t>
  </si>
  <si>
    <t xml:space="preserve">US-7.1, US-7.2 (UI), US-7.3, US-7.4, US-7.5</t>
  </si>
  <si>
    <t xml:space="preserve">- Admin layout: sidebar nav, 'Demo mode - no login' label
- Upload API (multipart, type/size validation, 10MB) reusing ingestion pipeline
- Dropzone + upload queue with statuses
- Documents table + delete (cascades chunks)
- (Could) document detail with sections; test search box</t>
  </si>
  <si>
    <t xml:space="preserve">- Upload new doc -&gt; Ready -&gt; answer about it in chat (demo scenario 8)
- Unsupported type rejected before upload
- Delete -&gt; assistant stops citing it</t>
  </si>
  <si>
    <t xml:space="preserve">Synchronous vs background ingestion (and when to move to a queue); admin auth out of scope and how you'd add it</t>
  </si>
  <si>
    <t xml:space="preserve">PR-11</t>
  </si>
  <si>
    <t xml:space="preserve">feat/11-admin-leads-consultations</t>
  </si>
  <si>
    <t xml:space="preserve">Admin: leads, consultations &amp; overview</t>
  </si>
  <si>
    <t xml:space="preserve">US-8.1, US-8.2, US-8.3</t>
  </si>
  <si>
    <t xml:space="preserve">- Leads table + lead drawer (requests, link to conversation)
- Consultations table, status filter (Pending default), status change with optimistic update
- Overview KPIs (7-day counts, pending requests)</t>
  </si>
  <si>
    <t xml:space="preserve">- Lead/request created in chat appears here
- Status change persists; failure reverts with toast
- Times shown in business timezone</t>
  </si>
  <si>
    <t xml:space="preserve">Pagination/limits on lists; timezone handling (store UTC, display business tz)</t>
  </si>
  <si>
    <t xml:space="preserve">PR-12</t>
  </si>
  <si>
    <t xml:space="preserve">feat/12-admin-conversations-settings</t>
  </si>
  <si>
    <t xml:space="preserve">Admin: conversation review &amp; AI audit trail</t>
  </si>
  <si>
    <t xml:space="preserve">Should</t>
  </si>
  <si>
    <t xml:space="preserve">US-9.1, US-9.2, US-9.3</t>
  </si>
  <si>
    <t xml:space="preserve">- Conversations list + transcript view
- Inline tool-call rows (args, result, duration, failed highlighted)
- (Could) unanswered questions list from search found:false</t>
  </si>
  <si>
    <t xml:space="preserve">- Demo shows tool audit trail for a real conversation</t>
  </si>
  <si>
    <t xml:space="preserve">Observability of agent actions; knowledge-gap loop as product value</t>
  </si>
  <si>
    <t xml:space="preserve">PR-13</t>
  </si>
  <si>
    <t xml:space="preserve">fix/13-reliability-hardening</t>
  </si>
  <si>
    <t xml:space="preserve">Reliability &amp; failure handling pass</t>
  </si>
  <si>
    <t xml:space="preserve">US-11.1 - US-11.6 (verification), US-12.6</t>
  </si>
  <si>
    <t xml:space="preserve">- Fault injection flag (e.g. SIMULATE_DB_FAILURE) to demo DB outage
- Structured logs (conversation id, latency, tool, error)
- Basic per-session rate limit
- Walk every error state in UI &amp; fix gaps
- Prompt-injection &amp; off-topic manual tests</t>
  </si>
  <si>
    <t xml:space="preserve">- Demo scenario 9: DB down -&gt; no false confirmation
- All error states in the design brief reachable and handled
- Checklist of failure tests in README</t>
  </si>
  <si>
    <t xml:space="preserve">Failure modes &amp; recovery; why never claim success without ok:true; rate limiting approach</t>
  </si>
  <si>
    <t xml:space="preserve">PR-07, PR-08, PR-09</t>
  </si>
  <si>
    <t xml:space="preserve">PR-14</t>
  </si>
  <si>
    <t xml:space="preserve">docs/14-readme-demo</t>
  </si>
  <si>
    <t xml:space="preserve">README, architecture &amp; demo video</t>
  </si>
  <si>
    <t xml:space="preserve">All (deliverables)</t>
  </si>
  <si>
    <t xml:space="preserve">- README: setup (Docker, supabase start, env, ingest, dev), architecture diagram, decisions, limitations, cost/latency notes, future work
- Demo script from user-stories section 11
- Record 3-5 min video (text, voice, RAG, actions, admin, failure)</t>
  </si>
  <si>
    <t xml:space="preserve">- Fresh clone -&gt; running app following README only
- Video covers all 9 demo scenarios</t>
  </si>
  <si>
    <t xml:space="preserve">Be ready to walk through the architecture diagram and every row of the Decision Log</t>
  </si>
  <si>
    <t xml:space="preserve">All</t>
  </si>
  <si>
    <t xml:space="preserve">PR-15</t>
  </si>
  <si>
    <t xml:space="preserve">feat/15-multi-business</t>
  </si>
  <si>
    <t xml:space="preserve">Multi-business: home page, add business, per-business guidelines</t>
  </si>
  <si>
    <t xml:space="preserve">US-10.1, US-10.2</t>
  </si>
  <si>
    <t xml:space="preserve">- Home page lists businesses as cards; each opens its chat at /b/[slug]
- Admin -&gt; New business: name, slug, description, timezone, assistant guidelines
- Admin -&gt; Settings: edit the same fields for the selected business (US-10.1)
- businesses.assistant_guidelines column; clinic-specific rules (no diagnosis, 911) move there from the shared prompt; neutral examples in the shared prompt and tool descriptions
- Admin pages scoped to the selected business (documents, leads, requests)
- Second sample business (data/sample-gym) prepared for the live demo</t>
  </si>
  <si>
    <t xml:space="preserve">- Create a business in the admin, upload its docs, open its card -&gt; answers from its documents with sources
- Lakeside answers unchanged; no cross-business results (every query filtered by business)
- Shared prompt contains no clinic-specific rule (prompt test)
- Live demo rehearsed: add 'Acme Fitness' in under 2 minutes</t>
  </si>
  <si>
    <t xml:space="preserve">One assistant per business, many businesses as data; why the picker is a local demo device, not a product flow; per-business guidelines vs hardcoded rules; tenant isolation by business_id</t>
  </si>
  <si>
    <t xml:space="preserve">PR-08, PR-10</t>
  </si>
  <si>
    <t xml:space="preserve">Agreed Oct 11. Core requirements first; this is the first item dropped if time runs short.</t>
  </si>
  <si>
    <t xml:space="preserve">TOTAL</t>
  </si>
  <si>
    <t xml:space="preserve">Estimates assume focused work with an AI pair; adjust freely.</t>
  </si>
  <si>
    <t xml:space="preserve">User Story Coverage</t>
  </si>
  <si>
    <t xml:space="preserve">Every story from docs/user-stories.md mapped to the PR that delivers it. Status is looked up from the PR Plan.</t>
  </si>
  <si>
    <t xml:space="preserve">Story ID</t>
  </si>
  <si>
    <t xml:space="preserve">Epic</t>
  </si>
  <si>
    <t xml:space="preserve">Story</t>
  </si>
  <si>
    <t xml:space="preserve">Primary PR</t>
  </si>
  <si>
    <t xml:space="preserve">Also touched in</t>
  </si>
  <si>
    <t xml:space="preserve">PR status (live)</t>
  </si>
  <si>
    <t xml:space="preserve">PR planned day (live)</t>
  </si>
  <si>
    <t xml:space="preserve">US-1.1</t>
  </si>
  <si>
    <t xml:space="preserve">E1 Web chat</t>
  </si>
  <si>
    <t xml:space="preserve">Start a conversation without signing up</t>
  </si>
  <si>
    <t xml:space="preserve">US-1.2</t>
  </si>
  <si>
    <t xml:space="preserve">Send a message and see a streaming reply</t>
  </si>
  <si>
    <t xml:space="preserve">US-1.3</t>
  </si>
  <si>
    <t xml:space="preserve">Input validation in the composer</t>
  </si>
  <si>
    <t xml:space="preserve">US-1.4</t>
  </si>
  <si>
    <t xml:space="preserve">Mobile-friendly chat</t>
  </si>
  <si>
    <t xml:space="preserve">US-1.5</t>
  </si>
  <si>
    <t xml:space="preserve">Start a new conversation</t>
  </si>
  <si>
    <t xml:space="preserve">Could</t>
  </si>
  <si>
    <t xml:space="preserve">US-2.1</t>
  </si>
  <si>
    <t xml:space="preserve">E2 Voice</t>
  </si>
  <si>
    <t xml:space="preserve">Talk to the assistant</t>
  </si>
  <si>
    <t xml:space="preserve">US-2.2</t>
  </si>
  <si>
    <t xml:space="preserve">Interrupt the assistant</t>
  </si>
  <si>
    <t xml:space="preserve">US-2.3</t>
  </si>
  <si>
    <t xml:space="preserve">Live captions</t>
  </si>
  <si>
    <t xml:space="preserve">US-2.4</t>
  </si>
  <si>
    <t xml:space="preserve">Voice takes the same actions as text</t>
  </si>
  <si>
    <t xml:space="preserve">US-2.5</t>
  </si>
  <si>
    <t xml:space="preserve">Control and end the voice session</t>
  </si>
  <si>
    <t xml:space="preserve">US-2.6</t>
  </si>
  <si>
    <t xml:space="preserve">Voice unavailable</t>
  </si>
  <si>
    <t xml:space="preserve">US-3.1</t>
  </si>
  <si>
    <t xml:space="preserve">E3 RAG</t>
  </si>
  <si>
    <t xml:space="preserve">Accurate answers from the business's documents</t>
  </si>
  <si>
    <t xml:space="preserve">US-3.2</t>
  </si>
  <si>
    <t xml:space="preserve">See where an answer came from</t>
  </si>
  <si>
    <t xml:space="preserve">US-3.3</t>
  </si>
  <si>
    <t xml:space="preserve">Honest 'I don't know'</t>
  </si>
  <si>
    <t xml:space="preserve">US-3.4</t>
  </si>
  <si>
    <t xml:space="preserve">Stay on topic and within limits</t>
  </si>
  <si>
    <t xml:space="preserve">US-4.1</t>
  </si>
  <si>
    <t xml:space="preserve">E4 Leads</t>
  </si>
  <si>
    <t xml:space="preserve">Share my contact details in conversation</t>
  </si>
  <si>
    <t xml:space="preserve">US-4.2</t>
  </si>
  <si>
    <t xml:space="preserve">Invalid details are caught</t>
  </si>
  <si>
    <t xml:space="preserve">US-4.3</t>
  </si>
  <si>
    <t xml:space="preserve">No duplicate leads</t>
  </si>
  <si>
    <t xml:space="preserve">US-5.1</t>
  </si>
  <si>
    <t xml:space="preserve">E5 Consultations</t>
  </si>
  <si>
    <t xml:space="preserve">Request a consultation in conversation</t>
  </si>
  <si>
    <t xml:space="preserve">US-5.2</t>
  </si>
  <si>
    <t xml:space="preserve">Invalid consultation inputs are caught</t>
  </si>
  <si>
    <t xml:space="preserve">US-5.3</t>
  </si>
  <si>
    <t xml:space="preserve">No duplicate requests</t>
  </si>
  <si>
    <t xml:space="preserve">US-6.1</t>
  </si>
  <si>
    <t xml:space="preserve">E6 Memory</t>
  </si>
  <si>
    <t xml:space="preserve">Remember earlier messages</t>
  </si>
  <si>
    <t xml:space="preserve">US-6.2</t>
  </si>
  <si>
    <t xml:space="preserve">Continue where I left off</t>
  </si>
  <si>
    <t xml:space="preserve">US-6.3</t>
  </si>
  <si>
    <t xml:space="preserve">Don't ask for details I already gave</t>
  </si>
  <si>
    <t xml:space="preserve">US-6.4</t>
  </si>
  <si>
    <t xml:space="preserve">Seamless switch between text and voice</t>
  </si>
  <si>
    <t xml:space="preserve">US-7.1</t>
  </si>
  <si>
    <t xml:space="preserve">E7 Knowledge base</t>
  </si>
  <si>
    <t xml:space="preserve">Upload business documents</t>
  </si>
  <si>
    <t xml:space="preserve">US-7.2</t>
  </si>
  <si>
    <t xml:space="preserve">Avoid duplicate documents</t>
  </si>
  <si>
    <t xml:space="preserve">US-7.3</t>
  </si>
  <si>
    <t xml:space="preserve">See and remove documents</t>
  </si>
  <si>
    <t xml:space="preserve">US-7.4</t>
  </si>
  <si>
    <t xml:space="preserve">Preview what the assistant learned</t>
  </si>
  <si>
    <t xml:space="preserve">US-7.5</t>
  </si>
  <si>
    <t xml:space="preserve">Test the assistant against my documents</t>
  </si>
  <si>
    <t xml:space="preserve">US-8.1</t>
  </si>
  <si>
    <t xml:space="preserve">E8 Leads &amp; consultations</t>
  </si>
  <si>
    <t xml:space="preserve">View leads</t>
  </si>
  <si>
    <t xml:space="preserve">US-8.2</t>
  </si>
  <si>
    <t xml:space="preserve">View consultation requests</t>
  </si>
  <si>
    <t xml:space="preserve">US-8.3</t>
  </si>
  <si>
    <t xml:space="preserve">Update request status</t>
  </si>
  <si>
    <t xml:space="preserve">US-9.1</t>
  </si>
  <si>
    <t xml:space="preserve">E9 Conversation review</t>
  </si>
  <si>
    <t xml:space="preserve">Read customer conversations</t>
  </si>
  <si>
    <t xml:space="preserve">US-9.2</t>
  </si>
  <si>
    <t xml:space="preserve">See what the AI did and why</t>
  </si>
  <si>
    <t xml:space="preserve">US-9.3</t>
  </si>
  <si>
    <t xml:space="preserve">Spot knowledge gaps</t>
  </si>
  <si>
    <t xml:space="preserve">US-10.1</t>
  </si>
  <si>
    <t xml:space="preserve">E10 Business profile</t>
  </si>
  <si>
    <t xml:space="preserve">Edit business profile</t>
  </si>
  <si>
    <t xml:space="preserve">US-11.1</t>
  </si>
  <si>
    <t xml:space="preserve">E11 Reliability</t>
  </si>
  <si>
    <t xml:space="preserve">Tool failures don't break the conversation</t>
  </si>
  <si>
    <t xml:space="preserve">US-11.2</t>
  </si>
  <si>
    <t xml:space="preserve">Invalid tool inputs caught before the DB</t>
  </si>
  <si>
    <t xml:space="preserve">US-11.3</t>
  </si>
  <si>
    <t xml:space="preserve">AI provider failures</t>
  </si>
  <si>
    <t xml:space="preserve">US-11.4</t>
  </si>
  <si>
    <t xml:space="preserve">No runaway agent loops</t>
  </si>
  <si>
    <t xml:space="preserve">US-11.5</t>
  </si>
  <si>
    <t xml:space="preserve">Document ingestion failures</t>
  </si>
  <si>
    <t xml:space="preserve">US-11.6</t>
  </si>
  <si>
    <t xml:space="preserve">Network loss in the browser</t>
  </si>
  <si>
    <t xml:space="preserve">US-12.1</t>
  </si>
  <si>
    <t xml:space="preserve">E12 Security</t>
  </si>
  <si>
    <t xml:space="preserve">Secrets never reach the browser</t>
  </si>
  <si>
    <t xml:space="preserve">US-12.2</t>
  </si>
  <si>
    <t xml:space="preserve">Database not publicly accessible</t>
  </si>
  <si>
    <t xml:space="preserve">US-12.3</t>
  </si>
  <si>
    <t xml:space="preserve">Conversation history can't be tampered with</t>
  </si>
  <si>
    <t xml:space="preserve">US-12.4</t>
  </si>
  <si>
    <t xml:space="preserve">Prompt-injection resistance</t>
  </si>
  <si>
    <t xml:space="preserve">US-12.5</t>
  </si>
  <si>
    <t xml:space="preserve">Data minimisation</t>
  </si>
  <si>
    <t xml:space="preserve">US-12.6</t>
  </si>
  <si>
    <t xml:space="preserve">Abuse protection (rate limit)</t>
  </si>
  <si>
    <t xml:space="preserve">US-10.2</t>
  </si>
  <si>
    <t xml:space="preserve">Add another business with its own documents</t>
  </si>
  <si>
    <t xml:space="preserve">Architecture Decision Log</t>
  </si>
  <si>
    <t xml:space="preserve">Prepare to defend each of these on the review call: what, the alternative, why, and the trade-off.</t>
  </si>
  <si>
    <t xml:space="preserve">ID</t>
  </si>
  <si>
    <t xml:space="preserve">Area</t>
  </si>
  <si>
    <t xml:space="preserve">Decision</t>
  </si>
  <si>
    <t xml:space="preserve">Alternative considered</t>
  </si>
  <si>
    <t xml:space="preserve">Why</t>
  </si>
  <si>
    <t xml:space="preserve">Trade-off / risk</t>
  </si>
  <si>
    <t xml:space="preserve">PR</t>
  </si>
  <si>
    <t xml:space="preserve">D-01</t>
  </si>
  <si>
    <t xml:space="preserve">Agent loop</t>
  </si>
  <si>
    <t xml:space="preserve">Hand-written tool loop with the openai SDK</t>
  </si>
  <si>
    <t xml:space="preserve">Vercel AI SDK / LangChain agents</t>
  </si>
  <si>
    <t xml:space="preserve">~100 lines I can explain line by line; full control of max rounds, timeouts, logging</t>
  </si>
  <si>
    <t xml:space="preserve">More plumbing for streaming; would adopt AI SDK for streaming in production</t>
  </si>
  <si>
    <t xml:space="preserve">D-02</t>
  </si>
  <si>
    <t xml:space="preserve">Retrieval</t>
  </si>
  <si>
    <t xml:space="preserve">search_knowledge as a tool (agentic RAG)</t>
  </si>
  <si>
    <t xml:space="preserve">Always retrieve before every message</t>
  </si>
  <si>
    <t xml:space="preserve">Model skips search for small talk, rewrites vague follow-ups, can search twice</t>
  </si>
  <si>
    <t xml:space="preserve">+1 model round trip (~300-600 ms) when searching</t>
  </si>
  <si>
    <t xml:space="preserve">D-03</t>
  </si>
  <si>
    <t xml:space="preserve">Hallucination</t>
  </si>
  <si>
    <t xml:space="preserve">Layered: grounding prompt + hybrid retrieval found-rule + sources only from retrieval + no facts in prompt</t>
  </si>
  <si>
    <t xml:space="preserve">Prompt-only 'don't make things up'</t>
  </si>
  <si>
    <t xml:space="preserve">Each layer catches what the previous misses; citations cannot be invented</t>
  </si>
  <si>
    <t xml:space="preserve">Originally planned a similarity threshold as layer 2; measurement showed it cannot work (see D-13). The retrieval gate filters noise; the prompt is the main defence</t>
  </si>
  <si>
    <t xml:space="preserve">D-04</t>
  </si>
  <si>
    <t xml:space="preserve">Chunking</t>
  </si>
  <si>
    <t xml:space="preserve">Heading-aware, ~400-500 tokens, ~60 overlap, title &gt; section prefix</t>
  </si>
  <si>
    <t xml:space="preserve">Fixed-size character splits</t>
  </si>
  <si>
    <t xml:space="preserve">Keeps FAQ answers / price tables whole; prefix improves retrieval of short chunks</t>
  </si>
  <si>
    <t xml:space="preserve">Uneven chunk sizes; more code than a naive splitter</t>
  </si>
  <si>
    <t xml:space="preserve">D-05</t>
  </si>
  <si>
    <t xml:space="preserve">Vector store</t>
  </si>
  <si>
    <t xml:space="preserve">Supabase pgvector + HNSW</t>
  </si>
  <si>
    <t xml:space="preserve">Pinecone / dedicated vector DB</t>
  </si>
  <si>
    <t xml:space="preserve">Required stack; one database for vectors + relational data + transactions</t>
  </si>
  <si>
    <t xml:space="preserve">At very large scale a dedicated store may be faster</t>
  </si>
  <si>
    <t xml:space="preserve">D-06</t>
  </si>
  <si>
    <t xml:space="preserve">Memory</t>
  </si>
  <si>
    <t xml:space="preserve">Server-side sliding window (20 msgs) + structured lead facts</t>
  </si>
  <si>
    <t xml:space="preserve">Client sends history / vector memory of chats</t>
  </si>
  <si>
    <t xml:space="preserve">Tamper-proof; cheap; facts that matter (who the customer is) are exact</t>
  </si>
  <si>
    <t xml:space="preserve">Very long conversations lose early detail (summary is next step)</t>
  </si>
  <si>
    <t xml:space="preserve">D-07</t>
  </si>
  <si>
    <t xml:space="preserve">OpenAI Realtime over WebRTC; the server opens the call (relays the SDP offer), so no key or token reaches the browser</t>
  </si>
  <si>
    <t xml:space="preserve">Whisper STT + LLM + TTS pipeline</t>
  </si>
  <si>
    <t xml:space="preserve">Lowest latency, natural turn-taking and barge-in; key never in browser</t>
  </si>
  <si>
    <t xml:space="preserve">Higher cost per minute; tool calls and transcripts are relayed by the browser (a server-side connection to the call is the production next step)</t>
  </si>
  <si>
    <t xml:space="preserve">D-08</t>
  </si>
  <si>
    <t xml:space="preserve">Tools</t>
  </si>
  <si>
    <t xml:space="preserve">One tool layer shared by text and voice</t>
  </si>
  <si>
    <t xml:space="preserve">Separate implementations per channel</t>
  </si>
  <si>
    <t xml:space="preserve">Identical validation and DB behaviour; no drift between channels</t>
  </si>
  <si>
    <t xml:space="preserve">Voice tool calls need a relay endpoint</t>
  </si>
  <si>
    <t xml:space="preserve">D-09</t>
  </si>
  <si>
    <t xml:space="preserve">Errors</t>
  </si>
  <si>
    <t xml:space="preserve">Tool errors returned to the model as {ok:false,error}</t>
  </si>
  <si>
    <t xml:space="preserve">Throw / 500 the request</t>
  </si>
  <si>
    <t xml:space="preserve">Model can recover (ask user to fix email, apologise for outage); never fakes success</t>
  </si>
  <si>
    <t xml:space="preserve">Need prompt rule + tests to ensure model respects ok:false</t>
  </si>
  <si>
    <t xml:space="preserve">D-10</t>
  </si>
  <si>
    <t xml:space="preserve">Data integrity</t>
  </si>
  <si>
    <t xml:space="preserve">Invariants as DB constraints (unique lead, unique request, email check)</t>
  </si>
  <si>
    <t xml:space="preserve">Checks only in application code</t>
  </si>
  <si>
    <t xml:space="preserve">Safe against retries and races; idempotent tool calls</t>
  </si>
  <si>
    <t xml:space="preserve">Constraint errors must be mapped to friendly results</t>
  </si>
  <si>
    <t xml:space="preserve">D-11</t>
  </si>
  <si>
    <t xml:space="preserve">Security</t>
  </si>
  <si>
    <t xml:space="preserve">RLS on, no policies; all access via server with service role</t>
  </si>
  <si>
    <t xml:space="preserve">Supabase client in browser with RLS policies</t>
  </si>
  <si>
    <t xml:space="preserve">Simplest secure model for anonymous users; no data exposure via anon key</t>
  </si>
  <si>
    <t xml:space="preserve">All reads go through API routes</t>
  </si>
  <si>
    <t xml:space="preserve">D-12</t>
  </si>
  <si>
    <t xml:space="preserve">Local dev</t>
  </si>
  <si>
    <t xml:space="preserve">Supabase local via Docker + migrations in repo</t>
  </si>
  <si>
    <t xml:space="preserve">Hosted project only</t>
  </si>
  <si>
    <t xml:space="preserve">Reproducible setup for reviewers; same migrations deploy to hosted with db push</t>
  </si>
  <si>
    <t xml:space="preserve">Requires Docker; no public demo URL</t>
  </si>
  <si>
    <t xml:space="preserve">D-13</t>
  </si>
  <si>
    <t xml:space="preserve">Retrieval gate</t>
  </si>
  <si>
    <t xml:space="preserve">Hybrid search (vector + Postgres full-text, reciprocal rank fusion) with a topic-keyword found rule</t>
  </si>
  <si>
    <t xml:space="preserve">Plain similarity threshold (the original plan); reranker / LLM relevance grader</t>
  </si>
  <si>
    <t xml:space="preserve">Measured on real embeddings: the weakest correct answer scored 0.27 while the strongest wrong match for an out-of-scope question scored 0.42, so no threshold separates them. A topic keyword either occurs in the knowledge base or it doesn't. Hybrid+RRF is the industry-standard pattern; eval: 14/14 found, 5/5 gaps rejected</t>
  </si>
  <si>
    <t xml:space="preserve">Second index and ~ms per search; the found rule's frame-verb exclusion is a heuristic. Production upgrade: a reranker or LLM relevance grader (calibrated 'does this chunk answer the question?' scores) at ~200-400 ms per search</t>
  </si>
  <si>
    <t xml:space="preserve">D-14</t>
  </si>
  <si>
    <t xml:space="preserve">Scope</t>
  </si>
  <si>
    <t xml:space="preserve">One assistant per business; many businesses as data. A home-page picker and 'add business' admin exist for the local demo</t>
  </si>
  <si>
    <t xml:space="preserve">Business directory / SaaS multi-tenancy (tenant routing, sign-up, per-tenant auth)</t>
  </si>
  <si>
    <t xml:space="preserve">The task asks for an assistant for a business. Learning the business from documents makes the code generic for free; adding a second business live in the meeting proves it without building a platform</t>
  </si>
  <si>
    <t xml:space="preserve">A picker isn't a real customer flow (customers arrive from the business's own website); tenant-scoped admin auth would be needed before any deployment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</si>
</sst>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F00"/>
        <bgColor rgb="FFFFF9C4"/>
      </patternFill>
    </fill>
    <fill>
      <patternFill patternType="solid">
        <fgColor rgb="FFE5E7EB"/>
        <bgColor rgb="FFE0E7FF"/>
      </patternFill>
    </fill>
    <fill>
      <patternFill patternType="solid">
        <fgColor rgb="FFE0F2FE"/>
        <bgColor rgb="FFE0E7FF"/>
      </patternFill>
    </fill>
    <fill>
      <patternFill patternType="solid">
        <fgColor rgb="FFEDE9FE"/>
        <bgColor rgb="FFE0E7FF"/>
      </patternFill>
    </fill>
    <fill>
      <patternFill patternType="solid">
        <fgColor rgb="FFFCE7F3"/>
        <bgColor rgb="FFFEE2E2"/>
      </patternFill>
    </fill>
    <fill>
      <patternFill patternType="solid">
        <fgColor rgb="FFDCFCE7"/>
        <bgColor rgb="FFE0F2FE"/>
      </patternFill>
    </fill>
    <fill>
      <patternFill patternType="solid">
        <fgColor rgb="FFFEF3C7"/>
        <bgColor rgb="FFFFF9C4"/>
      </patternFill>
    </fill>
    <fill>
      <patternFill patternType="solid">
        <fgColor rgb="FFE0E7FF"/>
        <bgColor rgb="FFE5E7EB"/>
      </patternFill>
    </fill>
    <fill>
      <patternFill patternType="solid">
        <fgColor rgb="FFFEE2E2"/>
        <bgColor rgb="FFFCE7F3"/>
      </patternFill>
    </fill>
    <fill>
      <patternFill patternType="solid">
        <fgColor rgb="FFF3F4F6"/>
        <bgColor rgb="FFEDE9FE"/>
      </patternFill>
    </fill>
    <fill>
      <patternFill patternType="solid">
        <fgColor rgb="FFFFF9C4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BBF7D0"/>
        </patternFill>
      </fill>
    </dxf>
    <dxf>
      <fill>
        <patternFill>
          <bgColor rgb="FFBFDBFE"/>
        </patternFill>
      </fill>
    </dxf>
    <dxf>
      <fill>
        <patternFill>
          <bgColor rgb="FFDDD6FE"/>
        </patternFill>
      </fill>
    </dxf>
    <dxf>
      <fill>
        <patternFill>
          <bgColor rgb="FFFECACA"/>
        </patternFill>
      </fill>
    </dxf>
    <dxf>
      <font>
        <name val="Arial"/>
        <charset val="1"/>
        <family val="0"/>
        <b val="1"/>
        <color rgb="FFB91C1C"/>
      </font>
    </dxf>
    <dxf>
      <font>
        <name val="Arial"/>
        <charset val="1"/>
        <family val="0"/>
        <b val="1"/>
        <color rgb="FFB45309"/>
      </font>
    </dxf>
    <dxf>
      <font>
        <name val="Arial"/>
        <charset val="1"/>
        <family val="0"/>
        <color rgb="FF9CA3AF"/>
      </font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1D5DB"/>
      <rgbColor rgb="FF808080"/>
      <rgbColor rgb="FFE5E7EB"/>
      <rgbColor rgb="FFB45309"/>
      <rgbColor rgb="FFFFF9C4"/>
      <rgbColor rgb="FFDCFCE7"/>
      <rgbColor rgb="FF660066"/>
      <rgbColor rgb="FFEDE9FE"/>
      <rgbColor rgb="FF0066CC"/>
      <rgbColor rgb="FFDDD6FE"/>
      <rgbColor rgb="FF000080"/>
      <rgbColor rgb="FFFF00FF"/>
      <rgbColor rgb="FFF3F4F6"/>
      <rgbColor rgb="FF00FFFF"/>
      <rgbColor rgb="FF800080"/>
      <rgbColor rgb="FF800000"/>
      <rgbColor rgb="FF008080"/>
      <rgbColor rgb="FF0000FF"/>
      <rgbColor rgb="FF00CCFF"/>
      <rgbColor rgb="FFE0F2FE"/>
      <rgbColor rgb="FFBBF7D0"/>
      <rgbColor rgb="FFFEF3C7"/>
      <rgbColor rgb="FFBFDBFE"/>
      <rgbColor rgb="FFFEE2E2"/>
      <rgbColor rgb="FFE0E7FF"/>
      <rgbColor rgb="FFFECACA"/>
      <rgbColor rgb="FF3366FF"/>
      <rgbColor rgb="FF33CCCC"/>
      <rgbColor rgb="FF99CC00"/>
      <rgbColor rgb="FFFCE7F3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COUNTA('PR Plan'!$A$5:$A$19)</f>
        <v>15</v>
      </c>
    </row>
    <row r="6" customFormat="false" ht="15" hidden="false" customHeight="true" outlineLevel="0" collapsed="false">
      <c r="A6" s="5" t="s">
        <v>4</v>
      </c>
      <c r="B6" s="6" t="n">
        <f aca="false">COUNTIF('PR Plan'!$M$5:$M$19,"Done")</f>
        <v>8</v>
      </c>
    </row>
    <row r="7" customFormat="false" ht="15" hidden="false" customHeight="true" outlineLevel="0" collapsed="false">
      <c r="A7" s="5" t="s">
        <v>5</v>
      </c>
      <c r="B7" s="6" t="n">
        <f aca="false">COUNTIF('PR Plan'!$M$5:$M$19,"In progress")+COUNTIF('PR Plan'!$M$5:$M$19,"In review")</f>
        <v>0</v>
      </c>
    </row>
    <row r="8" customFormat="false" ht="15" hidden="false" customHeight="true" outlineLevel="0" collapsed="false">
      <c r="A8" s="5" t="s">
        <v>6</v>
      </c>
      <c r="B8" s="6" t="n">
        <f aca="false">COUNTIF('PR Plan'!$M$5:$M$19,"Blocked")</f>
        <v>0</v>
      </c>
    </row>
    <row r="9" customFormat="false" ht="15" hidden="false" customHeight="true" outlineLevel="0" collapsed="false">
      <c r="A9" s="5" t="s">
        <v>7</v>
      </c>
      <c r="B9" s="7" t="n">
        <f aca="false">SUM('PR Plan'!$K$5:$K$19)</f>
        <v>29.5</v>
      </c>
    </row>
    <row r="10" customFormat="false" ht="15" hidden="false" customHeight="true" outlineLevel="0" collapsed="false">
      <c r="A10" s="5" t="s">
        <v>8</v>
      </c>
      <c r="B10" s="7" t="n">
        <f aca="false">SUMIFS('PR Plan'!$K$5:$K$19,'PR Plan'!$M$5:$M$19,"Done")</f>
        <v>14</v>
      </c>
    </row>
    <row r="11" customFormat="false" ht="15" hidden="false" customHeight="true" outlineLevel="0" collapsed="false">
      <c r="A11" s="5" t="s">
        <v>9</v>
      </c>
      <c r="B11" s="8" t="n">
        <f aca="false">IF(B9=0,0,B10/B9)</f>
        <v>0.474576271186441</v>
      </c>
    </row>
    <row r="12" customFormat="false" ht="15" hidden="false" customHeight="true" outlineLevel="0" collapsed="false">
      <c r="A12" s="5" t="s">
        <v>10</v>
      </c>
      <c r="B12" s="6" t="n">
        <f aca="false">COUNTA('Story Coverage'!$A$5:$A$1000)</f>
        <v>50</v>
      </c>
    </row>
    <row r="13" customFormat="false" ht="15" hidden="false" customHeight="true" outlineLevel="0" collapsed="false">
      <c r="A13" s="5" t="s">
        <v>11</v>
      </c>
      <c r="B13" s="6" t="n">
        <f aca="false">COUNTIFS('Story Coverage'!$D:$D,"Must",'Story Coverage'!$G:$G,"Done")</f>
        <v>27</v>
      </c>
    </row>
    <row r="14" customFormat="false" ht="15" hidden="false" customHeight="true" outlineLevel="0" collapsed="false">
      <c r="A14" s="5" t="s">
        <v>12</v>
      </c>
      <c r="B14" s="6" t="n">
        <f aca="false">COUNTIF('Story Coverage'!$D:$D,"Must")</f>
        <v>39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9" t="s">
        <v>14</v>
      </c>
      <c r="B17" s="9" t="s">
        <v>15</v>
      </c>
      <c r="C17" s="9" t="s">
        <v>16</v>
      </c>
      <c r="D17" s="9" t="s">
        <v>17</v>
      </c>
      <c r="E17" s="9" t="s">
        <v>18</v>
      </c>
    </row>
    <row r="18" customFormat="false" ht="15" hidden="false" customHeight="true" outlineLevel="0" collapsed="false">
      <c r="A18" s="5" t="s">
        <v>19</v>
      </c>
      <c r="B18" s="10" t="n">
        <v>8</v>
      </c>
      <c r="C18" s="11" t="n">
        <f aca="false">SUMIFS('PR Plan'!$K$5:$K$19,'PR Plan'!$L$5:$L$19,A18)</f>
        <v>8.5</v>
      </c>
      <c r="D18" s="11" t="n">
        <f aca="false">B18-C18</f>
        <v>-0.5</v>
      </c>
      <c r="E18" s="12" t="n">
        <f aca="false">COUNTIF('PR Plan'!$L$5:$L$19,A18)</f>
        <v>6</v>
      </c>
    </row>
    <row r="19" customFormat="false" ht="15" hidden="false" customHeight="true" outlineLevel="0" collapsed="false">
      <c r="A19" s="5" t="s">
        <v>20</v>
      </c>
      <c r="B19" s="10" t="n">
        <v>12</v>
      </c>
      <c r="C19" s="11" t="n">
        <f aca="false">SUMIFS('PR Plan'!$K$5:$K$19,'PR Plan'!$L$5:$L$19,A19)</f>
        <v>11.5</v>
      </c>
      <c r="D19" s="11" t="n">
        <f aca="false">B19-C19</f>
        <v>0.5</v>
      </c>
      <c r="E19" s="12" t="n">
        <f aca="false">COUNTIF('PR Plan'!$L$5:$L$19,A19)</f>
        <v>4</v>
      </c>
    </row>
    <row r="20" customFormat="false" ht="15" hidden="false" customHeight="true" outlineLevel="0" collapsed="false">
      <c r="A20" s="5" t="s">
        <v>21</v>
      </c>
      <c r="B20" s="10" t="n">
        <v>5</v>
      </c>
      <c r="C20" s="11" t="n">
        <f aca="false">SUMIFS('PR Plan'!$K$5:$K$19,'PR Plan'!$L$5:$L$19,A20)</f>
        <v>8</v>
      </c>
      <c r="D20" s="11" t="n">
        <f aca="false">B20-C20</f>
        <v>-3</v>
      </c>
      <c r="E20" s="12" t="n">
        <f aca="false">COUNTIF('PR Plan'!$L$5:$L$19,A20)</f>
        <v>4</v>
      </c>
    </row>
    <row r="21" customFormat="false" ht="15" hidden="false" customHeight="true" outlineLevel="0" collapsed="false">
      <c r="A21" s="5" t="s">
        <v>22</v>
      </c>
      <c r="B21" s="10" t="n">
        <v>0</v>
      </c>
      <c r="C21" s="11" t="n">
        <f aca="false">SUMIFS('PR Plan'!$K$5:$K$19,'PR Plan'!$L$5:$L$19,A21)</f>
        <v>1.5</v>
      </c>
      <c r="D21" s="11" t="n">
        <f aca="false">B21-C21</f>
        <v>-1.5</v>
      </c>
      <c r="E21" s="12" t="n">
        <f aca="false">COUNTIF('PR Plan'!$L$5:$L$19,A21)</f>
        <v>1</v>
      </c>
    </row>
    <row r="22" customFormat="false" ht="15" hidden="false" customHeight="true" outlineLevel="0" collapsed="false">
      <c r="A22" s="13" t="s">
        <v>23</v>
      </c>
      <c r="B22" s="14" t="n">
        <f aca="false">SUM(B18:B21)</f>
        <v>25</v>
      </c>
      <c r="C22" s="14" t="n">
        <f aca="false">SUM(C18:C21)</f>
        <v>29.5</v>
      </c>
      <c r="D22" s="14" t="n">
        <f aca="false">B22-C22</f>
        <v>-4.5</v>
      </c>
      <c r="E22" s="15" t="n">
        <f aca="false">SUM(E18:E21)</f>
        <v>15</v>
      </c>
    </row>
    <row r="23" customFormat="false" ht="15" hidden="false" customHeight="true" outlineLevel="0" collapsed="false">
      <c r="A23" s="16" t="s">
        <v>24</v>
      </c>
    </row>
    <row r="25" customFormat="false" ht="15" hidden="false" customHeight="true" outlineLevel="0" collapsed="false">
      <c r="A25" s="4" t="s">
        <v>25</v>
      </c>
    </row>
    <row r="26" customFormat="false" ht="15" hidden="false" customHeight="true" outlineLevel="0" collapsed="false">
      <c r="A26" s="9" t="s">
        <v>26</v>
      </c>
      <c r="B26" s="9" t="s">
        <v>27</v>
      </c>
      <c r="C26" s="9" t="s">
        <v>28</v>
      </c>
      <c r="D26" s="9" t="s">
        <v>29</v>
      </c>
    </row>
    <row r="27" customFormat="false" ht="15" hidden="false" customHeight="true" outlineLevel="0" collapsed="false">
      <c r="A27" s="17" t="s">
        <v>30</v>
      </c>
      <c r="B27" s="11" t="n">
        <f aca="false">SUMIFS('PR Plan'!$K$5:$K$19,'PR Plan'!$D$5:$D$19,A27)</f>
        <v>2.5</v>
      </c>
      <c r="C27" s="18" t="n">
        <f aca="false">COUNTIF('PR Plan'!$D$5:$D$19,A27)</f>
        <v>3</v>
      </c>
      <c r="D27" s="18" t="n">
        <f aca="false">COUNTIFS('PR Plan'!$D$5:$D$19,A27,'PR Plan'!$M$5:$M$19,"Done")</f>
        <v>3</v>
      </c>
    </row>
    <row r="28" customFormat="false" ht="15" hidden="false" customHeight="true" outlineLevel="0" collapsed="false">
      <c r="A28" s="19" t="s">
        <v>31</v>
      </c>
      <c r="B28" s="11" t="n">
        <f aca="false">SUMIFS('PR Plan'!$K$5:$K$19,'PR Plan'!$D$5:$D$19,A28)</f>
        <v>3.5</v>
      </c>
      <c r="C28" s="18" t="n">
        <f aca="false">COUNTIF('PR Plan'!$D$5:$D$19,A28)</f>
        <v>2</v>
      </c>
      <c r="D28" s="18" t="n">
        <f aca="false">COUNTIFS('PR Plan'!$D$5:$D$19,A28,'PR Plan'!$M$5:$M$19,"Done")</f>
        <v>2</v>
      </c>
    </row>
    <row r="29" customFormat="false" ht="15" hidden="false" customHeight="true" outlineLevel="0" collapsed="false">
      <c r="A29" s="20" t="s">
        <v>32</v>
      </c>
      <c r="B29" s="11" t="n">
        <f aca="false">SUMIFS('PR Plan'!$K$5:$K$19,'PR Plan'!$D$5:$D$19,A29)</f>
        <v>5</v>
      </c>
      <c r="C29" s="18" t="n">
        <f aca="false">COUNTIF('PR Plan'!$D$5:$D$19,A29)</f>
        <v>2</v>
      </c>
      <c r="D29" s="18" t="n">
        <f aca="false">COUNTIFS('PR Plan'!$D$5:$D$19,A29,'PR Plan'!$M$5:$M$19,"Done")</f>
        <v>2</v>
      </c>
    </row>
    <row r="30" customFormat="false" ht="15" hidden="false" customHeight="true" outlineLevel="0" collapsed="false">
      <c r="A30" s="21" t="s">
        <v>33</v>
      </c>
      <c r="B30" s="11" t="n">
        <f aca="false">SUMIFS('PR Plan'!$K$5:$K$19,'PR Plan'!$D$5:$D$19,A30)</f>
        <v>3</v>
      </c>
      <c r="C30" s="18" t="n">
        <f aca="false">COUNTIF('PR Plan'!$D$5:$D$19,A30)</f>
        <v>1</v>
      </c>
      <c r="D30" s="18" t="n">
        <f aca="false">COUNTIFS('PR Plan'!$D$5:$D$19,A30,'PR Plan'!$M$5:$M$19,"Done")</f>
        <v>1</v>
      </c>
    </row>
    <row r="31" customFormat="false" ht="15" hidden="false" customHeight="true" outlineLevel="0" collapsed="false">
      <c r="A31" s="22" t="s">
        <v>34</v>
      </c>
      <c r="B31" s="11" t="n">
        <f aca="false">SUMIFS('PR Plan'!$K$5:$K$19,'PR Plan'!$D$5:$D$19,A31)</f>
        <v>4</v>
      </c>
      <c r="C31" s="18" t="n">
        <f aca="false">COUNTIF('PR Plan'!$D$5:$D$19,A31)</f>
        <v>1</v>
      </c>
      <c r="D31" s="18" t="n">
        <f aca="false">COUNTIFS('PR Plan'!$D$5:$D$19,A31,'PR Plan'!$M$5:$M$19,"Done")</f>
        <v>0</v>
      </c>
    </row>
    <row r="32" customFormat="false" ht="15" hidden="false" customHeight="true" outlineLevel="0" collapsed="false">
      <c r="A32" s="23" t="s">
        <v>35</v>
      </c>
      <c r="B32" s="11" t="n">
        <f aca="false">SUMIFS('PR Plan'!$K$5:$K$19,'PR Plan'!$D$5:$D$19,A32)</f>
        <v>8</v>
      </c>
      <c r="C32" s="18" t="n">
        <f aca="false">COUNTIF('PR Plan'!$D$5:$D$19,A32)</f>
        <v>4</v>
      </c>
      <c r="D32" s="18" t="n">
        <f aca="false">COUNTIFS('PR Plan'!$D$5:$D$19,A32,'PR Plan'!$M$5:$M$19,"Done")</f>
        <v>0</v>
      </c>
    </row>
    <row r="33" customFormat="false" ht="15" hidden="false" customHeight="true" outlineLevel="0" collapsed="false">
      <c r="A33" s="24" t="s">
        <v>36</v>
      </c>
      <c r="B33" s="11" t="n">
        <f aca="false">SUMIFS('PR Plan'!$K$5:$K$19,'PR Plan'!$D$5:$D$19,A33)</f>
        <v>1.5</v>
      </c>
      <c r="C33" s="18" t="n">
        <f aca="false">COUNTIF('PR Plan'!$D$5:$D$19,A33)</f>
        <v>1</v>
      </c>
      <c r="D33" s="18" t="n">
        <f aca="false">COUNTIFS('PR Plan'!$D$5:$D$19,A33,'PR Plan'!$M$5:$M$19,"Done")</f>
        <v>0</v>
      </c>
    </row>
    <row r="34" customFormat="false" ht="15" hidden="false" customHeight="true" outlineLevel="0" collapsed="false">
      <c r="A34" s="25" t="s">
        <v>37</v>
      </c>
      <c r="B34" s="11" t="n">
        <f aca="false">SUMIFS('PR Plan'!$K$5:$K$19,'PR Plan'!$D$5:$D$19,A34)</f>
        <v>2</v>
      </c>
      <c r="C34" s="18" t="n">
        <f aca="false">COUNTIF('PR Plan'!$D$5:$D$19,A34)</f>
        <v>1</v>
      </c>
      <c r="D34" s="18" t="n">
        <f aca="false">COUNTIFS('PR Plan'!$D$5:$D$19,A34,'PR Plan'!$M$5:$M$19,"Done")</f>
        <v>0</v>
      </c>
    </row>
    <row r="36" customFormat="false" ht="15" hidden="false" customHeight="true" outlineLevel="0" collapsed="false">
      <c r="A36" s="4" t="s">
        <v>38</v>
      </c>
    </row>
    <row r="37" customFormat="false" ht="15" hidden="false" customHeight="true" outlineLevel="0" collapsed="false">
      <c r="A37" s="26" t="s">
        <v>39</v>
      </c>
      <c r="B37" s="27" t="s">
        <v>40</v>
      </c>
    </row>
    <row r="38" customFormat="false" ht="15" hidden="false" customHeight="true" outlineLevel="0" collapsed="false">
      <c r="A38" s="28" t="s">
        <v>41</v>
      </c>
      <c r="B38" s="27" t="s">
        <v>42</v>
      </c>
    </row>
    <row r="39" customFormat="false" ht="15" hidden="false" customHeight="true" outlineLevel="0" collapsed="false">
      <c r="A39" s="29" t="s">
        <v>43</v>
      </c>
      <c r="B39" s="27" t="s">
        <v>44</v>
      </c>
    </row>
    <row r="40" customFormat="false" ht="15" hidden="false" customHeight="true" outlineLevel="0" collapsed="false">
      <c r="A40" s="30" t="s">
        <v>45</v>
      </c>
      <c r="B40" s="27" t="s">
        <v>46</v>
      </c>
    </row>
    <row r="41" customFormat="false" ht="15" hidden="false" customHeight="true" outlineLevel="0" collapsed="false">
      <c r="A41" s="30" t="s">
        <v>47</v>
      </c>
      <c r="B41" s="27" t="s">
        <v>48</v>
      </c>
    </row>
    <row r="42" customFormat="false" ht="15" hidden="false" customHeight="true" outlineLevel="0" collapsed="false">
      <c r="A42" s="30" t="s">
        <v>49</v>
      </c>
      <c r="B42" s="27" t="s">
        <v>50</v>
      </c>
    </row>
    <row r="43" customFormat="false" ht="15" hidden="false" customHeight="true" outlineLevel="0" collapsed="false">
      <c r="A43" s="30" t="s">
        <v>51</v>
      </c>
      <c r="B43" s="27" t="s">
        <v>52</v>
      </c>
    </row>
  </sheetData>
  <conditionalFormatting sqref="D18:D2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30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62"/>
    <col collapsed="false" customWidth="true" hidden="false" outlineLevel="0" max="8" min="8" style="1" width="46"/>
    <col collapsed="false" customWidth="true" hidden="false" outlineLevel="0" max="9" min="9" style="1" width="42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20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30"/>
  </cols>
  <sheetData>
    <row r="1" customFormat="false" ht="19.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30" hidden="false" customHeight="true" outlineLevel="0" collapsed="false">
      <c r="A4" s="31" t="s">
        <v>55</v>
      </c>
      <c r="B4" s="31" t="s">
        <v>56</v>
      </c>
      <c r="C4" s="31" t="s">
        <v>57</v>
      </c>
      <c r="D4" s="31" t="s">
        <v>26</v>
      </c>
      <c r="E4" s="31" t="s">
        <v>58</v>
      </c>
      <c r="F4" s="31" t="s">
        <v>59</v>
      </c>
      <c r="G4" s="31" t="s">
        <v>60</v>
      </c>
      <c r="H4" s="31" t="s">
        <v>61</v>
      </c>
      <c r="I4" s="31" t="s">
        <v>62</v>
      </c>
      <c r="J4" s="31" t="s">
        <v>63</v>
      </c>
      <c r="K4" s="31" t="s">
        <v>64</v>
      </c>
      <c r="L4" s="31" t="s">
        <v>65</v>
      </c>
      <c r="M4" s="31" t="s">
        <v>66</v>
      </c>
      <c r="N4" s="31" t="s">
        <v>67</v>
      </c>
      <c r="O4" s="31" t="s">
        <v>68</v>
      </c>
    </row>
    <row r="5" customFormat="false" ht="135.75" hidden="false" customHeight="true" outlineLevel="0" collapsed="false">
      <c r="A5" s="32" t="s">
        <v>69</v>
      </c>
      <c r="B5" s="33" t="s">
        <v>70</v>
      </c>
      <c r="C5" s="33" t="s">
        <v>71</v>
      </c>
      <c r="D5" s="34" t="s">
        <v>30</v>
      </c>
      <c r="E5" s="35" t="s">
        <v>72</v>
      </c>
      <c r="F5" s="33" t="s">
        <v>73</v>
      </c>
      <c r="G5" s="33" t="s">
        <v>74</v>
      </c>
      <c r="H5" s="33" t="s">
        <v>75</v>
      </c>
      <c r="I5" s="33" t="s">
        <v>76</v>
      </c>
      <c r="J5" s="35" t="s">
        <v>77</v>
      </c>
      <c r="K5" s="36" t="n">
        <v>0.5</v>
      </c>
      <c r="L5" s="35" t="s">
        <v>19</v>
      </c>
      <c r="M5" s="37" t="s">
        <v>29</v>
      </c>
      <c r="N5" s="35" t="n">
        <f aca="false">COUNTIF('Story Coverage'!$E:$E,A5)</f>
        <v>0</v>
      </c>
      <c r="O5" s="38" t="s">
        <v>78</v>
      </c>
    </row>
    <row r="6" customFormat="false" ht="162" hidden="false" customHeight="true" outlineLevel="0" collapsed="false">
      <c r="A6" s="32" t="s">
        <v>79</v>
      </c>
      <c r="B6" s="33" t="s">
        <v>80</v>
      </c>
      <c r="C6" s="33" t="s">
        <v>81</v>
      </c>
      <c r="D6" s="34" t="s">
        <v>30</v>
      </c>
      <c r="E6" s="35" t="s">
        <v>72</v>
      </c>
      <c r="F6" s="33" t="s">
        <v>82</v>
      </c>
      <c r="G6" s="33" t="s">
        <v>83</v>
      </c>
      <c r="H6" s="33" t="s">
        <v>84</v>
      </c>
      <c r="I6" s="33" t="s">
        <v>85</v>
      </c>
      <c r="J6" s="35" t="s">
        <v>69</v>
      </c>
      <c r="K6" s="36" t="n">
        <v>1.5</v>
      </c>
      <c r="L6" s="35" t="s">
        <v>19</v>
      </c>
      <c r="M6" s="37" t="s">
        <v>29</v>
      </c>
      <c r="N6" s="35" t="n">
        <f aca="false">COUNTIF('Story Coverage'!$E:$E,A6)</f>
        <v>1</v>
      </c>
      <c r="O6" s="38" t="s">
        <v>86</v>
      </c>
    </row>
    <row r="7" customFormat="false" ht="109.5" hidden="false" customHeight="true" outlineLevel="0" collapsed="false">
      <c r="A7" s="32" t="s">
        <v>87</v>
      </c>
      <c r="B7" s="33" t="s">
        <v>88</v>
      </c>
      <c r="C7" s="33" t="s">
        <v>89</v>
      </c>
      <c r="D7" s="34" t="s">
        <v>30</v>
      </c>
      <c r="E7" s="35" t="s">
        <v>72</v>
      </c>
      <c r="F7" s="33" t="s">
        <v>90</v>
      </c>
      <c r="G7" s="33" t="s">
        <v>91</v>
      </c>
      <c r="H7" s="33" t="s">
        <v>92</v>
      </c>
      <c r="I7" s="33" t="s">
        <v>93</v>
      </c>
      <c r="J7" s="35" t="s">
        <v>79</v>
      </c>
      <c r="K7" s="36" t="n">
        <v>0.5</v>
      </c>
      <c r="L7" s="35" t="s">
        <v>19</v>
      </c>
      <c r="M7" s="37" t="s">
        <v>29</v>
      </c>
      <c r="N7" s="35" t="n">
        <f aca="false">COUNTIF('Story Coverage'!$E:$E,A7)</f>
        <v>0</v>
      </c>
      <c r="O7" s="38" t="s">
        <v>94</v>
      </c>
    </row>
    <row r="8" customFormat="false" ht="174.75" hidden="false" customHeight="true" outlineLevel="0" collapsed="false">
      <c r="A8" s="32" t="s">
        <v>95</v>
      </c>
      <c r="B8" s="33" t="s">
        <v>96</v>
      </c>
      <c r="C8" s="33" t="s">
        <v>97</v>
      </c>
      <c r="D8" s="39" t="s">
        <v>31</v>
      </c>
      <c r="E8" s="35" t="s">
        <v>72</v>
      </c>
      <c r="F8" s="33" t="s">
        <v>98</v>
      </c>
      <c r="G8" s="33" t="s">
        <v>99</v>
      </c>
      <c r="H8" s="33" t="s">
        <v>100</v>
      </c>
      <c r="I8" s="33" t="s">
        <v>101</v>
      </c>
      <c r="J8" s="35" t="s">
        <v>79</v>
      </c>
      <c r="K8" s="36" t="n">
        <v>2</v>
      </c>
      <c r="L8" s="35" t="s">
        <v>19</v>
      </c>
      <c r="M8" s="37" t="s">
        <v>29</v>
      </c>
      <c r="N8" s="35" t="n">
        <f aca="false">COUNTIF('Story Coverage'!$E:$E,A8)</f>
        <v>2</v>
      </c>
      <c r="O8" s="38" t="s">
        <v>102</v>
      </c>
    </row>
    <row r="9" customFormat="false" ht="109.5" hidden="false" customHeight="true" outlineLevel="0" collapsed="false">
      <c r="A9" s="32" t="s">
        <v>103</v>
      </c>
      <c r="B9" s="33" t="s">
        <v>104</v>
      </c>
      <c r="C9" s="33" t="s">
        <v>105</v>
      </c>
      <c r="D9" s="39" t="s">
        <v>31</v>
      </c>
      <c r="E9" s="35" t="s">
        <v>72</v>
      </c>
      <c r="F9" s="33" t="s">
        <v>106</v>
      </c>
      <c r="G9" s="33" t="s">
        <v>107</v>
      </c>
      <c r="H9" s="33" t="s">
        <v>108</v>
      </c>
      <c r="I9" s="33" t="s">
        <v>109</v>
      </c>
      <c r="J9" s="35" t="s">
        <v>95</v>
      </c>
      <c r="K9" s="36" t="n">
        <v>1.5</v>
      </c>
      <c r="L9" s="35" t="s">
        <v>19</v>
      </c>
      <c r="M9" s="37" t="s">
        <v>29</v>
      </c>
      <c r="N9" s="35" t="n">
        <f aca="false">COUNTIF('Story Coverage'!$E:$E,A9)</f>
        <v>3</v>
      </c>
      <c r="O9" s="38" t="s">
        <v>110</v>
      </c>
    </row>
    <row r="10" customFormat="false" ht="162" hidden="false" customHeight="true" outlineLevel="0" collapsed="false">
      <c r="A10" s="32" t="s">
        <v>111</v>
      </c>
      <c r="B10" s="33" t="s">
        <v>112</v>
      </c>
      <c r="C10" s="33" t="s">
        <v>113</v>
      </c>
      <c r="D10" s="40" t="s">
        <v>32</v>
      </c>
      <c r="E10" s="35" t="s">
        <v>72</v>
      </c>
      <c r="F10" s="33" t="s">
        <v>114</v>
      </c>
      <c r="G10" s="33" t="s">
        <v>115</v>
      </c>
      <c r="H10" s="33" t="s">
        <v>116</v>
      </c>
      <c r="I10" s="33" t="s">
        <v>117</v>
      </c>
      <c r="J10" s="35" t="s">
        <v>103</v>
      </c>
      <c r="K10" s="36" t="n">
        <v>2.5</v>
      </c>
      <c r="L10" s="35" t="s">
        <v>19</v>
      </c>
      <c r="M10" s="37" t="s">
        <v>29</v>
      </c>
      <c r="N10" s="35" t="n">
        <f aca="false">COUNTIF('Story Coverage'!$E:$E,A10)</f>
        <v>11</v>
      </c>
      <c r="O10" s="38" t="s">
        <v>118</v>
      </c>
    </row>
    <row r="11" customFormat="false" ht="187.5" hidden="false" customHeight="true" outlineLevel="0" collapsed="false">
      <c r="A11" s="32" t="s">
        <v>119</v>
      </c>
      <c r="B11" s="33" t="s">
        <v>120</v>
      </c>
      <c r="C11" s="33" t="s">
        <v>121</v>
      </c>
      <c r="D11" s="40" t="s">
        <v>32</v>
      </c>
      <c r="E11" s="35" t="s">
        <v>72</v>
      </c>
      <c r="F11" s="33" t="s">
        <v>122</v>
      </c>
      <c r="G11" s="33" t="s">
        <v>123</v>
      </c>
      <c r="H11" s="33" t="s">
        <v>124</v>
      </c>
      <c r="I11" s="33" t="s">
        <v>125</v>
      </c>
      <c r="J11" s="35" t="s">
        <v>111</v>
      </c>
      <c r="K11" s="36" t="n">
        <v>2.5</v>
      </c>
      <c r="L11" s="35" t="s">
        <v>20</v>
      </c>
      <c r="M11" s="37" t="s">
        <v>29</v>
      </c>
      <c r="N11" s="35" t="n">
        <f aca="false">COUNTIF('Story Coverage'!$E:$E,A11)</f>
        <v>6</v>
      </c>
      <c r="O11" s="38" t="s">
        <v>126</v>
      </c>
    </row>
    <row r="12" customFormat="false" ht="279" hidden="false" customHeight="true" outlineLevel="0" collapsed="false">
      <c r="A12" s="32" t="s">
        <v>127</v>
      </c>
      <c r="B12" s="33" t="s">
        <v>128</v>
      </c>
      <c r="C12" s="33" t="s">
        <v>129</v>
      </c>
      <c r="D12" s="41" t="s">
        <v>33</v>
      </c>
      <c r="E12" s="35" t="s">
        <v>72</v>
      </c>
      <c r="F12" s="33" t="s">
        <v>130</v>
      </c>
      <c r="G12" s="33" t="s">
        <v>131</v>
      </c>
      <c r="H12" s="33" t="s">
        <v>132</v>
      </c>
      <c r="I12" s="33" t="s">
        <v>133</v>
      </c>
      <c r="J12" s="35" t="s">
        <v>119</v>
      </c>
      <c r="K12" s="36" t="n">
        <v>3</v>
      </c>
      <c r="L12" s="35" t="s">
        <v>20</v>
      </c>
      <c r="M12" s="37" t="s">
        <v>29</v>
      </c>
      <c r="N12" s="35" t="n">
        <f aca="false">COUNTIF('Story Coverage'!$E:$E,A12)</f>
        <v>6</v>
      </c>
      <c r="O12" s="38" t="s">
        <v>134</v>
      </c>
    </row>
    <row r="13" customFormat="false" ht="148.5" hidden="false" customHeight="true" outlineLevel="0" collapsed="false">
      <c r="A13" s="32" t="s">
        <v>135</v>
      </c>
      <c r="B13" s="33" t="s">
        <v>136</v>
      </c>
      <c r="C13" s="33" t="s">
        <v>137</v>
      </c>
      <c r="D13" s="42" t="s">
        <v>34</v>
      </c>
      <c r="E13" s="35" t="s">
        <v>72</v>
      </c>
      <c r="F13" s="33" t="s">
        <v>138</v>
      </c>
      <c r="G13" s="33" t="s">
        <v>139</v>
      </c>
      <c r="H13" s="33" t="s">
        <v>140</v>
      </c>
      <c r="I13" s="33" t="s">
        <v>141</v>
      </c>
      <c r="J13" s="35" t="s">
        <v>142</v>
      </c>
      <c r="K13" s="36" t="n">
        <v>4</v>
      </c>
      <c r="L13" s="35" t="s">
        <v>20</v>
      </c>
      <c r="M13" s="37" t="s">
        <v>143</v>
      </c>
      <c r="N13" s="35" t="n">
        <f aca="false">COUNTIF('Story Coverage'!$E:$E,A13)</f>
        <v>8</v>
      </c>
      <c r="O13" s="38"/>
    </row>
    <row r="14" customFormat="false" ht="109.5" hidden="false" customHeight="true" outlineLevel="0" collapsed="false">
      <c r="A14" s="32" t="s">
        <v>144</v>
      </c>
      <c r="B14" s="33" t="s">
        <v>145</v>
      </c>
      <c r="C14" s="33" t="s">
        <v>146</v>
      </c>
      <c r="D14" s="43" t="s">
        <v>35</v>
      </c>
      <c r="E14" s="35" t="s">
        <v>72</v>
      </c>
      <c r="F14" s="33" t="s">
        <v>147</v>
      </c>
      <c r="G14" s="33" t="s">
        <v>148</v>
      </c>
      <c r="H14" s="33" t="s">
        <v>149</v>
      </c>
      <c r="I14" s="33" t="s">
        <v>150</v>
      </c>
      <c r="J14" s="35" t="s">
        <v>95</v>
      </c>
      <c r="K14" s="36" t="n">
        <v>2</v>
      </c>
      <c r="L14" s="35" t="s">
        <v>20</v>
      </c>
      <c r="M14" s="37" t="s">
        <v>143</v>
      </c>
      <c r="N14" s="35" t="n">
        <f aca="false">COUNTIF('Story Coverage'!$E:$E,A14)</f>
        <v>4</v>
      </c>
      <c r="O14" s="38"/>
    </row>
    <row r="15" customFormat="false" ht="70.5" hidden="false" customHeight="true" outlineLevel="0" collapsed="false">
      <c r="A15" s="32" t="s">
        <v>151</v>
      </c>
      <c r="B15" s="33" t="s">
        <v>152</v>
      </c>
      <c r="C15" s="33" t="s">
        <v>153</v>
      </c>
      <c r="D15" s="43" t="s">
        <v>35</v>
      </c>
      <c r="E15" s="35" t="s">
        <v>72</v>
      </c>
      <c r="F15" s="33" t="s">
        <v>154</v>
      </c>
      <c r="G15" s="33" t="s">
        <v>155</v>
      </c>
      <c r="H15" s="33" t="s">
        <v>156</v>
      </c>
      <c r="I15" s="33" t="s">
        <v>157</v>
      </c>
      <c r="J15" s="35" t="s">
        <v>111</v>
      </c>
      <c r="K15" s="36" t="n">
        <v>1.5</v>
      </c>
      <c r="L15" s="35" t="s">
        <v>21</v>
      </c>
      <c r="M15" s="37" t="s">
        <v>143</v>
      </c>
      <c r="N15" s="35" t="n">
        <f aca="false">COUNTIF('Story Coverage'!$E:$E,A15)</f>
        <v>3</v>
      </c>
      <c r="O15" s="38"/>
    </row>
    <row r="16" customFormat="false" ht="70.5" hidden="false" customHeight="true" outlineLevel="0" collapsed="false">
      <c r="A16" s="32" t="s">
        <v>158</v>
      </c>
      <c r="B16" s="33" t="s">
        <v>159</v>
      </c>
      <c r="C16" s="33" t="s">
        <v>160</v>
      </c>
      <c r="D16" s="43" t="s">
        <v>35</v>
      </c>
      <c r="E16" s="35" t="s">
        <v>161</v>
      </c>
      <c r="F16" s="33" t="s">
        <v>162</v>
      </c>
      <c r="G16" s="33" t="s">
        <v>163</v>
      </c>
      <c r="H16" s="33" t="s">
        <v>164</v>
      </c>
      <c r="I16" s="33" t="s">
        <v>165</v>
      </c>
      <c r="J16" s="35" t="s">
        <v>119</v>
      </c>
      <c r="K16" s="36" t="n">
        <v>1.5</v>
      </c>
      <c r="L16" s="35" t="s">
        <v>22</v>
      </c>
      <c r="M16" s="37" t="s">
        <v>143</v>
      </c>
      <c r="N16" s="35" t="n">
        <f aca="false">COUNTIF('Story Coverage'!$E:$E,A16)</f>
        <v>3</v>
      </c>
      <c r="O16" s="38"/>
    </row>
    <row r="17" customFormat="false" ht="109.5" hidden="false" customHeight="true" outlineLevel="0" collapsed="false">
      <c r="A17" s="32" t="s">
        <v>166</v>
      </c>
      <c r="B17" s="33" t="s">
        <v>167</v>
      </c>
      <c r="C17" s="33" t="s">
        <v>168</v>
      </c>
      <c r="D17" s="44" t="s">
        <v>36</v>
      </c>
      <c r="E17" s="35" t="s">
        <v>72</v>
      </c>
      <c r="F17" s="33" t="s">
        <v>169</v>
      </c>
      <c r="G17" s="33" t="s">
        <v>170</v>
      </c>
      <c r="H17" s="33" t="s">
        <v>171</v>
      </c>
      <c r="I17" s="33" t="s">
        <v>172</v>
      </c>
      <c r="J17" s="35" t="s">
        <v>173</v>
      </c>
      <c r="K17" s="36" t="n">
        <v>1.5</v>
      </c>
      <c r="L17" s="35" t="s">
        <v>21</v>
      </c>
      <c r="M17" s="37" t="s">
        <v>143</v>
      </c>
      <c r="N17" s="35" t="n">
        <f aca="false">COUNTIF('Story Coverage'!$E:$E,A17)</f>
        <v>1</v>
      </c>
      <c r="O17" s="38"/>
    </row>
    <row r="18" customFormat="false" ht="84" hidden="false" customHeight="true" outlineLevel="0" collapsed="false">
      <c r="A18" s="32" t="s">
        <v>174</v>
      </c>
      <c r="B18" s="33" t="s">
        <v>175</v>
      </c>
      <c r="C18" s="33" t="s">
        <v>176</v>
      </c>
      <c r="D18" s="45" t="s">
        <v>37</v>
      </c>
      <c r="E18" s="35" t="s">
        <v>72</v>
      </c>
      <c r="F18" s="33" t="s">
        <v>177</v>
      </c>
      <c r="G18" s="33" t="s">
        <v>178</v>
      </c>
      <c r="H18" s="33" t="s">
        <v>179</v>
      </c>
      <c r="I18" s="33" t="s">
        <v>180</v>
      </c>
      <c r="J18" s="35" t="s">
        <v>181</v>
      </c>
      <c r="K18" s="36" t="n">
        <v>2</v>
      </c>
      <c r="L18" s="35" t="s">
        <v>21</v>
      </c>
      <c r="M18" s="37" t="s">
        <v>143</v>
      </c>
      <c r="N18" s="35" t="n">
        <f aca="false">COUNTIF('Story Coverage'!$E:$E,A18)</f>
        <v>0</v>
      </c>
      <c r="O18" s="38"/>
    </row>
    <row r="19" customFormat="false" ht="174.75" hidden="false" customHeight="true" outlineLevel="0" collapsed="false">
      <c r="A19" s="32" t="s">
        <v>182</v>
      </c>
      <c r="B19" s="33" t="s">
        <v>183</v>
      </c>
      <c r="C19" s="33" t="s">
        <v>184</v>
      </c>
      <c r="D19" s="43" t="s">
        <v>35</v>
      </c>
      <c r="E19" s="35" t="s">
        <v>161</v>
      </c>
      <c r="F19" s="33" t="s">
        <v>185</v>
      </c>
      <c r="G19" s="33" t="s">
        <v>186</v>
      </c>
      <c r="H19" s="33" t="s">
        <v>187</v>
      </c>
      <c r="I19" s="33" t="s">
        <v>188</v>
      </c>
      <c r="J19" s="35" t="s">
        <v>189</v>
      </c>
      <c r="K19" s="36" t="n">
        <v>3</v>
      </c>
      <c r="L19" s="35" t="s">
        <v>21</v>
      </c>
      <c r="M19" s="37" t="s">
        <v>143</v>
      </c>
      <c r="N19" s="35" t="n">
        <f aca="false">COUNTIF('Story Coverage'!$E:$E,A19)</f>
        <v>2</v>
      </c>
      <c r="O19" s="38" t="s">
        <v>190</v>
      </c>
    </row>
    <row r="20" customFormat="false" ht="15" hidden="false" customHeight="true" outlineLevel="0" collapsed="false">
      <c r="A20" s="46" t="s">
        <v>191</v>
      </c>
      <c r="B20" s="47"/>
      <c r="C20" s="47"/>
      <c r="D20" s="47"/>
      <c r="E20" s="47"/>
      <c r="F20" s="47"/>
      <c r="G20" s="47"/>
      <c r="H20" s="47"/>
      <c r="I20" s="47"/>
      <c r="J20" s="47"/>
      <c r="K20" s="48" t="n">
        <f aca="false">SUM(K5:K19)</f>
        <v>29.5</v>
      </c>
      <c r="L20" s="47"/>
      <c r="M20" s="47"/>
      <c r="N20" s="46" t="n">
        <f aca="false">SUM(N5:N19)</f>
        <v>50</v>
      </c>
      <c r="O20" s="47"/>
    </row>
    <row r="21" customFormat="false" ht="15" hidden="false" customHeight="true" outlineLevel="0" collapsed="false">
      <c r="K21" s="16" t="s">
        <v>192</v>
      </c>
    </row>
  </sheetData>
  <autoFilter ref="A4:O19"/>
  <conditionalFormatting sqref="M5:M19">
    <cfRule type="cellIs" priority="2" operator="equal" aboveAverage="0" equalAverage="0" bottom="0" percent="0" rank="0" text="" dxfId="18">
      <formula>"Done"</formula>
    </cfRule>
    <cfRule type="cellIs" priority="3" operator="equal" aboveAverage="0" equalAverage="0" bottom="0" percent="0" rank="0" text="" dxfId="19">
      <formula>"In progress"</formula>
    </cfRule>
    <cfRule type="cellIs" priority="4" operator="equal" aboveAverage="0" equalAverage="0" bottom="0" percent="0" rank="0" text="" dxfId="20">
      <formula>"In review"</formula>
    </cfRule>
    <cfRule type="cellIs" priority="5" operator="equal" aboveAverage="0" equalAverage="0" bottom="0" percent="0" rank="0" text="" dxfId="21">
      <formula>"Blocked"</formula>
    </cfRule>
  </conditionalFormatting>
  <conditionalFormatting sqref="E5:E19">
    <cfRule type="cellIs" priority="6" operator="equal" aboveAverage="0" equalAverage="0" bottom="0" percent="0" rank="0" text="" dxfId="22">
      <formula>"Must"</formula>
    </cfRule>
    <cfRule type="cellIs" priority="7" operator="equal" aboveAverage="0" equalAverage="0" bottom="0" percent="0" rank="0" text="" dxfId="23">
      <formula>"Should"</formula>
    </cfRule>
  </conditionalFormatting>
  <conditionalFormatting sqref="A5:L19">
    <cfRule type="expression" priority="8" aboveAverage="0" equalAverage="0" bottom="0" percent="0" rank="0" text="" dxfId="24">
      <formula>$M5="Done"</formula>
    </cfRule>
  </conditionalFormatting>
  <dataValidations count="3">
    <dataValidation allowBlank="false" errorStyle="stop" operator="between" showDropDown="false" showErrorMessage="false" showInputMessage="false" sqref="M5:M19" type="list">
      <formula1>"Not started,In progress,In review,Done,Blocked"</formula1>
      <formula2>0</formula2>
    </dataValidation>
    <dataValidation allowBlank="false" errorStyle="stop" operator="between" showDropDown="false" showErrorMessage="false" showInputMessage="false" sqref="E5:E19" type="list">
      <formula1>"Must,Should,Could"</formula1>
      <formula2>0</formula2>
    </dataValidation>
    <dataValidation allowBlank="false" errorStyle="stop" operator="between" showDropDown="false" showErrorMessage="false" showInputMessage="false" sqref="L5:L19" type="list">
      <formula1>"Day 1 - Sun Oct 11,Day 2 - Mon Oct 12,Day 3 - Tue Oct 13 (AM),Stretch"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22"/>
  </cols>
  <sheetData>
    <row r="1" customFormat="false" ht="19.5" hidden="false" customHeight="true" outlineLevel="0" collapsed="false">
      <c r="A1" s="2" t="s">
        <v>193</v>
      </c>
    </row>
    <row r="2" customFormat="false" ht="15" hidden="false" customHeight="true" outlineLevel="0" collapsed="false">
      <c r="A2" s="3" t="s">
        <v>194</v>
      </c>
    </row>
    <row r="4" customFormat="false" ht="30" hidden="false" customHeight="true" outlineLevel="0" collapsed="false">
      <c r="A4" s="31" t="s">
        <v>195</v>
      </c>
      <c r="B4" s="31" t="s">
        <v>196</v>
      </c>
      <c r="C4" s="31" t="s">
        <v>197</v>
      </c>
      <c r="D4" s="31" t="s">
        <v>58</v>
      </c>
      <c r="E4" s="31" t="s">
        <v>198</v>
      </c>
      <c r="F4" s="31" t="s">
        <v>199</v>
      </c>
      <c r="G4" s="31" t="s">
        <v>200</v>
      </c>
      <c r="H4" s="31" t="s">
        <v>201</v>
      </c>
    </row>
    <row r="5" customFormat="false" ht="15" hidden="false" customHeight="true" outlineLevel="0" collapsed="false">
      <c r="A5" s="32" t="s">
        <v>202</v>
      </c>
      <c r="B5" s="33" t="s">
        <v>203</v>
      </c>
      <c r="C5" s="33" t="s">
        <v>204</v>
      </c>
      <c r="D5" s="35" t="s">
        <v>72</v>
      </c>
      <c r="E5" s="35" t="s">
        <v>127</v>
      </c>
      <c r="F5" s="35" t="s">
        <v>119</v>
      </c>
      <c r="G5" s="49" t="str">
        <f aca="false">IFERROR(INDEX('PR Plan'!$M$5:$M$19,MATCH(E5,'PR Plan'!$A$5:$A$19,0)),"-")</f>
        <v>Done</v>
      </c>
      <c r="H5" s="49" t="str">
        <f aca="false">IFERROR(INDEX('PR Plan'!$L$5:$L$19,MATCH(E5,'PR Plan'!$A$5:$A$19,0)),"-")</f>
        <v>Day 2 - Mon Oct 12</v>
      </c>
    </row>
    <row r="6" customFormat="false" ht="15" hidden="false" customHeight="true" outlineLevel="0" collapsed="false">
      <c r="A6" s="32" t="s">
        <v>205</v>
      </c>
      <c r="B6" s="33" t="s">
        <v>203</v>
      </c>
      <c r="C6" s="33" t="s">
        <v>206</v>
      </c>
      <c r="D6" s="35" t="s">
        <v>72</v>
      </c>
      <c r="E6" s="35" t="s">
        <v>127</v>
      </c>
      <c r="F6" s="35" t="s">
        <v>119</v>
      </c>
      <c r="G6" s="49" t="str">
        <f aca="false">IFERROR(INDEX('PR Plan'!$M$5:$M$19,MATCH(E6,'PR Plan'!$A$5:$A$19,0)),"-")</f>
        <v>Done</v>
      </c>
      <c r="H6" s="49" t="str">
        <f aca="false">IFERROR(INDEX('PR Plan'!$L$5:$L$19,MATCH(E6,'PR Plan'!$A$5:$A$19,0)),"-")</f>
        <v>Day 2 - Mon Oct 12</v>
      </c>
    </row>
    <row r="7" customFormat="false" ht="15" hidden="false" customHeight="true" outlineLevel="0" collapsed="false">
      <c r="A7" s="32" t="s">
        <v>207</v>
      </c>
      <c r="B7" s="33" t="s">
        <v>203</v>
      </c>
      <c r="C7" s="33" t="s">
        <v>208</v>
      </c>
      <c r="D7" s="35" t="s">
        <v>72</v>
      </c>
      <c r="E7" s="35" t="s">
        <v>127</v>
      </c>
      <c r="F7" s="35" t="s">
        <v>119</v>
      </c>
      <c r="G7" s="49" t="str">
        <f aca="false">IFERROR(INDEX('PR Plan'!$M$5:$M$19,MATCH(E7,'PR Plan'!$A$5:$A$19,0)),"-")</f>
        <v>Done</v>
      </c>
      <c r="H7" s="49" t="str">
        <f aca="false">IFERROR(INDEX('PR Plan'!$L$5:$L$19,MATCH(E7,'PR Plan'!$A$5:$A$19,0)),"-")</f>
        <v>Day 2 - Mon Oct 12</v>
      </c>
    </row>
    <row r="8" customFormat="false" ht="15" hidden="false" customHeight="true" outlineLevel="0" collapsed="false">
      <c r="A8" s="32" t="s">
        <v>209</v>
      </c>
      <c r="B8" s="33" t="s">
        <v>203</v>
      </c>
      <c r="C8" s="33" t="s">
        <v>210</v>
      </c>
      <c r="D8" s="35" t="s">
        <v>72</v>
      </c>
      <c r="E8" s="35" t="s">
        <v>127</v>
      </c>
      <c r="F8" s="35"/>
      <c r="G8" s="49" t="str">
        <f aca="false">IFERROR(INDEX('PR Plan'!$M$5:$M$19,MATCH(E8,'PR Plan'!$A$5:$A$19,0)),"-")</f>
        <v>Done</v>
      </c>
      <c r="H8" s="49" t="str">
        <f aca="false">IFERROR(INDEX('PR Plan'!$L$5:$L$19,MATCH(E8,'PR Plan'!$A$5:$A$19,0)),"-")</f>
        <v>Day 2 - Mon Oct 12</v>
      </c>
    </row>
    <row r="9" customFormat="false" ht="15" hidden="false" customHeight="true" outlineLevel="0" collapsed="false">
      <c r="A9" s="32" t="s">
        <v>211</v>
      </c>
      <c r="B9" s="33" t="s">
        <v>203</v>
      </c>
      <c r="C9" s="33" t="s">
        <v>212</v>
      </c>
      <c r="D9" s="35" t="s">
        <v>213</v>
      </c>
      <c r="E9" s="35" t="s">
        <v>127</v>
      </c>
      <c r="F9" s="35"/>
      <c r="G9" s="49" t="str">
        <f aca="false">IFERROR(INDEX('PR Plan'!$M$5:$M$19,MATCH(E9,'PR Plan'!$A$5:$A$19,0)),"-")</f>
        <v>Done</v>
      </c>
      <c r="H9" s="49" t="str">
        <f aca="false">IFERROR(INDEX('PR Plan'!$L$5:$L$19,MATCH(E9,'PR Plan'!$A$5:$A$19,0)),"-")</f>
        <v>Day 2 - Mon Oct 12</v>
      </c>
    </row>
    <row r="10" customFormat="false" ht="15" hidden="false" customHeight="true" outlineLevel="0" collapsed="false">
      <c r="A10" s="32" t="s">
        <v>214</v>
      </c>
      <c r="B10" s="33" t="s">
        <v>215</v>
      </c>
      <c r="C10" s="33" t="s">
        <v>216</v>
      </c>
      <c r="D10" s="35" t="s">
        <v>72</v>
      </c>
      <c r="E10" s="35" t="s">
        <v>135</v>
      </c>
      <c r="F10" s="35"/>
      <c r="G10" s="49" t="str">
        <f aca="false">IFERROR(INDEX('PR Plan'!$M$5:$M$19,MATCH(E10,'PR Plan'!$A$5:$A$19,0)),"-")</f>
        <v>Not started</v>
      </c>
      <c r="H10" s="49" t="str">
        <f aca="false">IFERROR(INDEX('PR Plan'!$L$5:$L$19,MATCH(E10,'PR Plan'!$A$5:$A$19,0)),"-")</f>
        <v>Day 2 - Mon Oct 12</v>
      </c>
    </row>
    <row r="11" customFormat="false" ht="15" hidden="false" customHeight="true" outlineLevel="0" collapsed="false">
      <c r="A11" s="32" t="s">
        <v>217</v>
      </c>
      <c r="B11" s="33" t="s">
        <v>215</v>
      </c>
      <c r="C11" s="33" t="s">
        <v>218</v>
      </c>
      <c r="D11" s="35" t="s">
        <v>72</v>
      </c>
      <c r="E11" s="35" t="s">
        <v>135</v>
      </c>
      <c r="F11" s="35"/>
      <c r="G11" s="49" t="str">
        <f aca="false">IFERROR(INDEX('PR Plan'!$M$5:$M$19,MATCH(E11,'PR Plan'!$A$5:$A$19,0)),"-")</f>
        <v>Not started</v>
      </c>
      <c r="H11" s="49" t="str">
        <f aca="false">IFERROR(INDEX('PR Plan'!$L$5:$L$19,MATCH(E11,'PR Plan'!$A$5:$A$19,0)),"-")</f>
        <v>Day 2 - Mon Oct 12</v>
      </c>
    </row>
    <row r="12" customFormat="false" ht="15" hidden="false" customHeight="true" outlineLevel="0" collapsed="false">
      <c r="A12" s="32" t="s">
        <v>219</v>
      </c>
      <c r="B12" s="33" t="s">
        <v>215</v>
      </c>
      <c r="C12" s="33" t="s">
        <v>220</v>
      </c>
      <c r="D12" s="35" t="s">
        <v>72</v>
      </c>
      <c r="E12" s="35" t="s">
        <v>135</v>
      </c>
      <c r="F12" s="35"/>
      <c r="G12" s="49" t="str">
        <f aca="false">IFERROR(INDEX('PR Plan'!$M$5:$M$19,MATCH(E12,'PR Plan'!$A$5:$A$19,0)),"-")</f>
        <v>Not started</v>
      </c>
      <c r="H12" s="49" t="str">
        <f aca="false">IFERROR(INDEX('PR Plan'!$L$5:$L$19,MATCH(E12,'PR Plan'!$A$5:$A$19,0)),"-")</f>
        <v>Day 2 - Mon Oct 12</v>
      </c>
    </row>
    <row r="13" customFormat="false" ht="15" hidden="false" customHeight="true" outlineLevel="0" collapsed="false">
      <c r="A13" s="32" t="s">
        <v>221</v>
      </c>
      <c r="B13" s="33" t="s">
        <v>215</v>
      </c>
      <c r="C13" s="33" t="s">
        <v>222</v>
      </c>
      <c r="D13" s="35" t="s">
        <v>72</v>
      </c>
      <c r="E13" s="35" t="s">
        <v>135</v>
      </c>
      <c r="F13" s="35" t="s">
        <v>111</v>
      </c>
      <c r="G13" s="49" t="str">
        <f aca="false">IFERROR(INDEX('PR Plan'!$M$5:$M$19,MATCH(E13,'PR Plan'!$A$5:$A$19,0)),"-")</f>
        <v>Not started</v>
      </c>
      <c r="H13" s="49" t="str">
        <f aca="false">IFERROR(INDEX('PR Plan'!$L$5:$L$19,MATCH(E13,'PR Plan'!$A$5:$A$19,0)),"-")</f>
        <v>Day 2 - Mon Oct 12</v>
      </c>
    </row>
    <row r="14" customFormat="false" ht="15" hidden="false" customHeight="true" outlineLevel="0" collapsed="false">
      <c r="A14" s="32" t="s">
        <v>223</v>
      </c>
      <c r="B14" s="33" t="s">
        <v>215</v>
      </c>
      <c r="C14" s="33" t="s">
        <v>224</v>
      </c>
      <c r="D14" s="35" t="s">
        <v>72</v>
      </c>
      <c r="E14" s="35" t="s">
        <v>135</v>
      </c>
      <c r="F14" s="35"/>
      <c r="G14" s="49" t="str">
        <f aca="false">IFERROR(INDEX('PR Plan'!$M$5:$M$19,MATCH(E14,'PR Plan'!$A$5:$A$19,0)),"-")</f>
        <v>Not started</v>
      </c>
      <c r="H14" s="49" t="str">
        <f aca="false">IFERROR(INDEX('PR Plan'!$L$5:$L$19,MATCH(E14,'PR Plan'!$A$5:$A$19,0)),"-")</f>
        <v>Day 2 - Mon Oct 12</v>
      </c>
    </row>
    <row r="15" customFormat="false" ht="15" hidden="false" customHeight="true" outlineLevel="0" collapsed="false">
      <c r="A15" s="32" t="s">
        <v>225</v>
      </c>
      <c r="B15" s="33" t="s">
        <v>215</v>
      </c>
      <c r="C15" s="33" t="s">
        <v>226</v>
      </c>
      <c r="D15" s="35" t="s">
        <v>72</v>
      </c>
      <c r="E15" s="35" t="s">
        <v>135</v>
      </c>
      <c r="F15" s="35"/>
      <c r="G15" s="49" t="str">
        <f aca="false">IFERROR(INDEX('PR Plan'!$M$5:$M$19,MATCH(E15,'PR Plan'!$A$5:$A$19,0)),"-")</f>
        <v>Not started</v>
      </c>
      <c r="H15" s="49" t="str">
        <f aca="false">IFERROR(INDEX('PR Plan'!$L$5:$L$19,MATCH(E15,'PR Plan'!$A$5:$A$19,0)),"-")</f>
        <v>Day 2 - Mon Oct 12</v>
      </c>
    </row>
    <row r="16" customFormat="false" ht="15" hidden="false" customHeight="true" outlineLevel="0" collapsed="false">
      <c r="A16" s="32" t="s">
        <v>227</v>
      </c>
      <c r="B16" s="33" t="s">
        <v>228</v>
      </c>
      <c r="C16" s="33" t="s">
        <v>229</v>
      </c>
      <c r="D16" s="35" t="s">
        <v>72</v>
      </c>
      <c r="E16" s="35" t="s">
        <v>103</v>
      </c>
      <c r="F16" s="35" t="s">
        <v>95</v>
      </c>
      <c r="G16" s="49" t="str">
        <f aca="false">IFERROR(INDEX('PR Plan'!$M$5:$M$19,MATCH(E16,'PR Plan'!$A$5:$A$19,0)),"-")</f>
        <v>Done</v>
      </c>
      <c r="H16" s="49" t="str">
        <f aca="false">IFERROR(INDEX('PR Plan'!$L$5:$L$19,MATCH(E16,'PR Plan'!$A$5:$A$19,0)),"-")</f>
        <v>Day 1 - Sun Oct 11</v>
      </c>
    </row>
    <row r="17" customFormat="false" ht="15" hidden="false" customHeight="true" outlineLevel="0" collapsed="false">
      <c r="A17" s="32" t="s">
        <v>230</v>
      </c>
      <c r="B17" s="33" t="s">
        <v>228</v>
      </c>
      <c r="C17" s="33" t="s">
        <v>231</v>
      </c>
      <c r="D17" s="35" t="s">
        <v>72</v>
      </c>
      <c r="E17" s="35" t="s">
        <v>103</v>
      </c>
      <c r="F17" s="35" t="s">
        <v>127</v>
      </c>
      <c r="G17" s="49" t="str">
        <f aca="false">IFERROR(INDEX('PR Plan'!$M$5:$M$19,MATCH(E17,'PR Plan'!$A$5:$A$19,0)),"-")</f>
        <v>Done</v>
      </c>
      <c r="H17" s="49" t="str">
        <f aca="false">IFERROR(INDEX('PR Plan'!$L$5:$L$19,MATCH(E17,'PR Plan'!$A$5:$A$19,0)),"-")</f>
        <v>Day 1 - Sun Oct 11</v>
      </c>
    </row>
    <row r="18" customFormat="false" ht="15" hidden="false" customHeight="true" outlineLevel="0" collapsed="false">
      <c r="A18" s="32" t="s">
        <v>232</v>
      </c>
      <c r="B18" s="33" t="s">
        <v>228</v>
      </c>
      <c r="C18" s="33" t="s">
        <v>233</v>
      </c>
      <c r="D18" s="35" t="s">
        <v>72</v>
      </c>
      <c r="E18" s="35" t="s">
        <v>103</v>
      </c>
      <c r="F18" s="35" t="s">
        <v>111</v>
      </c>
      <c r="G18" s="49" t="str">
        <f aca="false">IFERROR(INDEX('PR Plan'!$M$5:$M$19,MATCH(E18,'PR Plan'!$A$5:$A$19,0)),"-")</f>
        <v>Done</v>
      </c>
      <c r="H18" s="49" t="str">
        <f aca="false">IFERROR(INDEX('PR Plan'!$L$5:$L$19,MATCH(E18,'PR Plan'!$A$5:$A$19,0)),"-")</f>
        <v>Day 1 - Sun Oct 11</v>
      </c>
    </row>
    <row r="19" customFormat="false" ht="15" hidden="false" customHeight="true" outlineLevel="0" collapsed="false">
      <c r="A19" s="32" t="s">
        <v>234</v>
      </c>
      <c r="B19" s="33" t="s">
        <v>228</v>
      </c>
      <c r="C19" s="33" t="s">
        <v>235</v>
      </c>
      <c r="D19" s="35" t="s">
        <v>72</v>
      </c>
      <c r="E19" s="35" t="s">
        <v>111</v>
      </c>
      <c r="F19" s="35"/>
      <c r="G19" s="49" t="str">
        <f aca="false">IFERROR(INDEX('PR Plan'!$M$5:$M$19,MATCH(E19,'PR Plan'!$A$5:$A$19,0)),"-")</f>
        <v>Done</v>
      </c>
      <c r="H19" s="49" t="str">
        <f aca="false">IFERROR(INDEX('PR Plan'!$L$5:$L$19,MATCH(E19,'PR Plan'!$A$5:$A$19,0)),"-")</f>
        <v>Day 1 - Sun Oct 11</v>
      </c>
    </row>
    <row r="20" customFormat="false" ht="15" hidden="false" customHeight="true" outlineLevel="0" collapsed="false">
      <c r="A20" s="32" t="s">
        <v>236</v>
      </c>
      <c r="B20" s="33" t="s">
        <v>237</v>
      </c>
      <c r="C20" s="33" t="s">
        <v>238</v>
      </c>
      <c r="D20" s="35" t="s">
        <v>72</v>
      </c>
      <c r="E20" s="35" t="s">
        <v>111</v>
      </c>
      <c r="F20" s="35" t="s">
        <v>127</v>
      </c>
      <c r="G20" s="49" t="str">
        <f aca="false">IFERROR(INDEX('PR Plan'!$M$5:$M$19,MATCH(E20,'PR Plan'!$A$5:$A$19,0)),"-")</f>
        <v>Done</v>
      </c>
      <c r="H20" s="49" t="str">
        <f aca="false">IFERROR(INDEX('PR Plan'!$L$5:$L$19,MATCH(E20,'PR Plan'!$A$5:$A$19,0)),"-")</f>
        <v>Day 1 - Sun Oct 11</v>
      </c>
    </row>
    <row r="21" customFormat="false" ht="15" hidden="false" customHeight="true" outlineLevel="0" collapsed="false">
      <c r="A21" s="32" t="s">
        <v>239</v>
      </c>
      <c r="B21" s="33" t="s">
        <v>237</v>
      </c>
      <c r="C21" s="33" t="s">
        <v>240</v>
      </c>
      <c r="D21" s="35" t="s">
        <v>72</v>
      </c>
      <c r="E21" s="35" t="s">
        <v>111</v>
      </c>
      <c r="F21" s="35"/>
      <c r="G21" s="49" t="str">
        <f aca="false">IFERROR(INDEX('PR Plan'!$M$5:$M$19,MATCH(E21,'PR Plan'!$A$5:$A$19,0)),"-")</f>
        <v>Done</v>
      </c>
      <c r="H21" s="49" t="str">
        <f aca="false">IFERROR(INDEX('PR Plan'!$L$5:$L$19,MATCH(E21,'PR Plan'!$A$5:$A$19,0)),"-")</f>
        <v>Day 1 - Sun Oct 11</v>
      </c>
    </row>
    <row r="22" customFormat="false" ht="15" hidden="false" customHeight="true" outlineLevel="0" collapsed="false">
      <c r="A22" s="32" t="s">
        <v>241</v>
      </c>
      <c r="B22" s="33" t="s">
        <v>237</v>
      </c>
      <c r="C22" s="33" t="s">
        <v>242</v>
      </c>
      <c r="D22" s="35" t="s">
        <v>72</v>
      </c>
      <c r="E22" s="35" t="s">
        <v>111</v>
      </c>
      <c r="F22" s="35" t="s">
        <v>79</v>
      </c>
      <c r="G22" s="49" t="str">
        <f aca="false">IFERROR(INDEX('PR Plan'!$M$5:$M$19,MATCH(E22,'PR Plan'!$A$5:$A$19,0)),"-")</f>
        <v>Done</v>
      </c>
      <c r="H22" s="49" t="str">
        <f aca="false">IFERROR(INDEX('PR Plan'!$L$5:$L$19,MATCH(E22,'PR Plan'!$A$5:$A$19,0)),"-")</f>
        <v>Day 1 - Sun Oct 11</v>
      </c>
    </row>
    <row r="23" customFormat="false" ht="15" hidden="false" customHeight="true" outlineLevel="0" collapsed="false">
      <c r="A23" s="32" t="s">
        <v>243</v>
      </c>
      <c r="B23" s="33" t="s">
        <v>244</v>
      </c>
      <c r="C23" s="33" t="s">
        <v>245</v>
      </c>
      <c r="D23" s="35" t="s">
        <v>72</v>
      </c>
      <c r="E23" s="35" t="s">
        <v>111</v>
      </c>
      <c r="F23" s="35" t="s">
        <v>127</v>
      </c>
      <c r="G23" s="49" t="str">
        <f aca="false">IFERROR(INDEX('PR Plan'!$M$5:$M$19,MATCH(E23,'PR Plan'!$A$5:$A$19,0)),"-")</f>
        <v>Done</v>
      </c>
      <c r="H23" s="49" t="str">
        <f aca="false">IFERROR(INDEX('PR Plan'!$L$5:$L$19,MATCH(E23,'PR Plan'!$A$5:$A$19,0)),"-")</f>
        <v>Day 1 - Sun Oct 11</v>
      </c>
    </row>
    <row r="24" customFormat="false" ht="15" hidden="false" customHeight="true" outlineLevel="0" collapsed="false">
      <c r="A24" s="32" t="s">
        <v>246</v>
      </c>
      <c r="B24" s="33" t="s">
        <v>244</v>
      </c>
      <c r="C24" s="33" t="s">
        <v>247</v>
      </c>
      <c r="D24" s="35" t="s">
        <v>72</v>
      </c>
      <c r="E24" s="35" t="s">
        <v>111</v>
      </c>
      <c r="F24" s="35"/>
      <c r="G24" s="49" t="str">
        <f aca="false">IFERROR(INDEX('PR Plan'!$M$5:$M$19,MATCH(E24,'PR Plan'!$A$5:$A$19,0)),"-")</f>
        <v>Done</v>
      </c>
      <c r="H24" s="49" t="str">
        <f aca="false">IFERROR(INDEX('PR Plan'!$L$5:$L$19,MATCH(E24,'PR Plan'!$A$5:$A$19,0)),"-")</f>
        <v>Day 1 - Sun Oct 11</v>
      </c>
    </row>
    <row r="25" customFormat="false" ht="15" hidden="false" customHeight="true" outlineLevel="0" collapsed="false">
      <c r="A25" s="32" t="s">
        <v>248</v>
      </c>
      <c r="B25" s="33" t="s">
        <v>244</v>
      </c>
      <c r="C25" s="33" t="s">
        <v>249</v>
      </c>
      <c r="D25" s="35" t="s">
        <v>72</v>
      </c>
      <c r="E25" s="35" t="s">
        <v>111</v>
      </c>
      <c r="F25" s="35" t="s">
        <v>79</v>
      </c>
      <c r="G25" s="49" t="str">
        <f aca="false">IFERROR(INDEX('PR Plan'!$M$5:$M$19,MATCH(E25,'PR Plan'!$A$5:$A$19,0)),"-")</f>
        <v>Done</v>
      </c>
      <c r="H25" s="49" t="str">
        <f aca="false">IFERROR(INDEX('PR Plan'!$L$5:$L$19,MATCH(E25,'PR Plan'!$A$5:$A$19,0)),"-")</f>
        <v>Day 1 - Sun Oct 11</v>
      </c>
    </row>
    <row r="26" customFormat="false" ht="15" hidden="false" customHeight="true" outlineLevel="0" collapsed="false">
      <c r="A26" s="32" t="s">
        <v>250</v>
      </c>
      <c r="B26" s="33" t="s">
        <v>251</v>
      </c>
      <c r="C26" s="33" t="s">
        <v>252</v>
      </c>
      <c r="D26" s="35" t="s">
        <v>72</v>
      </c>
      <c r="E26" s="35" t="s">
        <v>119</v>
      </c>
      <c r="F26" s="35"/>
      <c r="G26" s="49" t="str">
        <f aca="false">IFERROR(INDEX('PR Plan'!$M$5:$M$19,MATCH(E26,'PR Plan'!$A$5:$A$19,0)),"-")</f>
        <v>Done</v>
      </c>
      <c r="H26" s="49" t="str">
        <f aca="false">IFERROR(INDEX('PR Plan'!$L$5:$L$19,MATCH(E26,'PR Plan'!$A$5:$A$19,0)),"-")</f>
        <v>Day 2 - Mon Oct 12</v>
      </c>
    </row>
    <row r="27" customFormat="false" ht="15" hidden="false" customHeight="true" outlineLevel="0" collapsed="false">
      <c r="A27" s="32" t="s">
        <v>253</v>
      </c>
      <c r="B27" s="33" t="s">
        <v>251</v>
      </c>
      <c r="C27" s="33" t="s">
        <v>254</v>
      </c>
      <c r="D27" s="35" t="s">
        <v>72</v>
      </c>
      <c r="E27" s="35" t="s">
        <v>119</v>
      </c>
      <c r="F27" s="35" t="s">
        <v>127</v>
      </c>
      <c r="G27" s="49" t="str">
        <f aca="false">IFERROR(INDEX('PR Plan'!$M$5:$M$19,MATCH(E27,'PR Plan'!$A$5:$A$19,0)),"-")</f>
        <v>Done</v>
      </c>
      <c r="H27" s="49" t="str">
        <f aca="false">IFERROR(INDEX('PR Plan'!$L$5:$L$19,MATCH(E27,'PR Plan'!$A$5:$A$19,0)),"-")</f>
        <v>Day 2 - Mon Oct 12</v>
      </c>
    </row>
    <row r="28" customFormat="false" ht="15" hidden="false" customHeight="true" outlineLevel="0" collapsed="false">
      <c r="A28" s="32" t="s">
        <v>255</v>
      </c>
      <c r="B28" s="33" t="s">
        <v>251</v>
      </c>
      <c r="C28" s="33" t="s">
        <v>256</v>
      </c>
      <c r="D28" s="35" t="s">
        <v>72</v>
      </c>
      <c r="E28" s="35" t="s">
        <v>119</v>
      </c>
      <c r="F28" s="35" t="s">
        <v>111</v>
      </c>
      <c r="G28" s="49" t="str">
        <f aca="false">IFERROR(INDEX('PR Plan'!$M$5:$M$19,MATCH(E28,'PR Plan'!$A$5:$A$19,0)),"-")</f>
        <v>Done</v>
      </c>
      <c r="H28" s="49" t="str">
        <f aca="false">IFERROR(INDEX('PR Plan'!$L$5:$L$19,MATCH(E28,'PR Plan'!$A$5:$A$19,0)),"-")</f>
        <v>Day 2 - Mon Oct 12</v>
      </c>
    </row>
    <row r="29" customFormat="false" ht="15" hidden="false" customHeight="true" outlineLevel="0" collapsed="false">
      <c r="A29" s="32" t="s">
        <v>257</v>
      </c>
      <c r="B29" s="33" t="s">
        <v>251</v>
      </c>
      <c r="C29" s="33" t="s">
        <v>258</v>
      </c>
      <c r="D29" s="35" t="s">
        <v>72</v>
      </c>
      <c r="E29" s="35" t="s">
        <v>135</v>
      </c>
      <c r="F29" s="35" t="s">
        <v>119</v>
      </c>
      <c r="G29" s="49" t="str">
        <f aca="false">IFERROR(INDEX('PR Plan'!$M$5:$M$19,MATCH(E29,'PR Plan'!$A$5:$A$19,0)),"-")</f>
        <v>Not started</v>
      </c>
      <c r="H29" s="49" t="str">
        <f aca="false">IFERROR(INDEX('PR Plan'!$L$5:$L$19,MATCH(E29,'PR Plan'!$A$5:$A$19,0)),"-")</f>
        <v>Day 2 - Mon Oct 12</v>
      </c>
    </row>
    <row r="30" customFormat="false" ht="15" hidden="false" customHeight="true" outlineLevel="0" collapsed="false">
      <c r="A30" s="32" t="s">
        <v>259</v>
      </c>
      <c r="B30" s="33" t="s">
        <v>260</v>
      </c>
      <c r="C30" s="33" t="s">
        <v>261</v>
      </c>
      <c r="D30" s="35" t="s">
        <v>72</v>
      </c>
      <c r="E30" s="35" t="s">
        <v>144</v>
      </c>
      <c r="F30" s="35" t="s">
        <v>95</v>
      </c>
      <c r="G30" s="49" t="str">
        <f aca="false">IFERROR(INDEX('PR Plan'!$M$5:$M$19,MATCH(E30,'PR Plan'!$A$5:$A$19,0)),"-")</f>
        <v>Not started</v>
      </c>
      <c r="H30" s="49" t="str">
        <f aca="false">IFERROR(INDEX('PR Plan'!$L$5:$L$19,MATCH(E30,'PR Plan'!$A$5:$A$19,0)),"-")</f>
        <v>Day 2 - Mon Oct 12</v>
      </c>
    </row>
    <row r="31" customFormat="false" ht="15" hidden="false" customHeight="true" outlineLevel="0" collapsed="false">
      <c r="A31" s="32" t="s">
        <v>262</v>
      </c>
      <c r="B31" s="33" t="s">
        <v>260</v>
      </c>
      <c r="C31" s="33" t="s">
        <v>263</v>
      </c>
      <c r="D31" s="35" t="s">
        <v>72</v>
      </c>
      <c r="E31" s="35" t="s">
        <v>95</v>
      </c>
      <c r="F31" s="35" t="s">
        <v>144</v>
      </c>
      <c r="G31" s="49" t="str">
        <f aca="false">IFERROR(INDEX('PR Plan'!$M$5:$M$19,MATCH(E31,'PR Plan'!$A$5:$A$19,0)),"-")</f>
        <v>Done</v>
      </c>
      <c r="H31" s="49" t="str">
        <f aca="false">IFERROR(INDEX('PR Plan'!$L$5:$L$19,MATCH(E31,'PR Plan'!$A$5:$A$19,0)),"-")</f>
        <v>Day 1 - Sun Oct 11</v>
      </c>
    </row>
    <row r="32" customFormat="false" ht="15" hidden="false" customHeight="true" outlineLevel="0" collapsed="false">
      <c r="A32" s="32" t="s">
        <v>264</v>
      </c>
      <c r="B32" s="33" t="s">
        <v>260</v>
      </c>
      <c r="C32" s="33" t="s">
        <v>265</v>
      </c>
      <c r="D32" s="35" t="s">
        <v>72</v>
      </c>
      <c r="E32" s="35" t="s">
        <v>144</v>
      </c>
      <c r="F32" s="35"/>
      <c r="G32" s="49" t="str">
        <f aca="false">IFERROR(INDEX('PR Plan'!$M$5:$M$19,MATCH(E32,'PR Plan'!$A$5:$A$19,0)),"-")</f>
        <v>Not started</v>
      </c>
      <c r="H32" s="49" t="str">
        <f aca="false">IFERROR(INDEX('PR Plan'!$L$5:$L$19,MATCH(E32,'PR Plan'!$A$5:$A$19,0)),"-")</f>
        <v>Day 2 - Mon Oct 12</v>
      </c>
    </row>
    <row r="33" customFormat="false" ht="15" hidden="false" customHeight="true" outlineLevel="0" collapsed="false">
      <c r="A33" s="32" t="s">
        <v>266</v>
      </c>
      <c r="B33" s="33" t="s">
        <v>260</v>
      </c>
      <c r="C33" s="33" t="s">
        <v>267</v>
      </c>
      <c r="D33" s="35" t="s">
        <v>213</v>
      </c>
      <c r="E33" s="35" t="s">
        <v>144</v>
      </c>
      <c r="F33" s="35"/>
      <c r="G33" s="49" t="str">
        <f aca="false">IFERROR(INDEX('PR Plan'!$M$5:$M$19,MATCH(E33,'PR Plan'!$A$5:$A$19,0)),"-")</f>
        <v>Not started</v>
      </c>
      <c r="H33" s="49" t="str">
        <f aca="false">IFERROR(INDEX('PR Plan'!$L$5:$L$19,MATCH(E33,'PR Plan'!$A$5:$A$19,0)),"-")</f>
        <v>Day 2 - Mon Oct 12</v>
      </c>
    </row>
    <row r="34" customFormat="false" ht="15" hidden="false" customHeight="true" outlineLevel="0" collapsed="false">
      <c r="A34" s="32" t="s">
        <v>268</v>
      </c>
      <c r="B34" s="33" t="s">
        <v>260</v>
      </c>
      <c r="C34" s="33" t="s">
        <v>269</v>
      </c>
      <c r="D34" s="35" t="s">
        <v>213</v>
      </c>
      <c r="E34" s="35" t="s">
        <v>144</v>
      </c>
      <c r="F34" s="35" t="s">
        <v>103</v>
      </c>
      <c r="G34" s="49" t="str">
        <f aca="false">IFERROR(INDEX('PR Plan'!$M$5:$M$19,MATCH(E34,'PR Plan'!$A$5:$A$19,0)),"-")</f>
        <v>Not started</v>
      </c>
      <c r="H34" s="49" t="str">
        <f aca="false">IFERROR(INDEX('PR Plan'!$L$5:$L$19,MATCH(E34,'PR Plan'!$A$5:$A$19,0)),"-")</f>
        <v>Day 2 - Mon Oct 12</v>
      </c>
    </row>
    <row r="35" customFormat="false" ht="15" hidden="false" customHeight="true" outlineLevel="0" collapsed="false">
      <c r="A35" s="32" t="s">
        <v>270</v>
      </c>
      <c r="B35" s="33" t="s">
        <v>271</v>
      </c>
      <c r="C35" s="33" t="s">
        <v>272</v>
      </c>
      <c r="D35" s="35" t="s">
        <v>72</v>
      </c>
      <c r="E35" s="35" t="s">
        <v>151</v>
      </c>
      <c r="F35" s="35"/>
      <c r="G35" s="49" t="str">
        <f aca="false">IFERROR(INDEX('PR Plan'!$M$5:$M$19,MATCH(E35,'PR Plan'!$A$5:$A$19,0)),"-")</f>
        <v>Not started</v>
      </c>
      <c r="H35" s="49" t="str">
        <f aca="false">IFERROR(INDEX('PR Plan'!$L$5:$L$19,MATCH(E35,'PR Plan'!$A$5:$A$19,0)),"-")</f>
        <v>Day 3 - Tue Oct 13 (AM)</v>
      </c>
    </row>
    <row r="36" customFormat="false" ht="15" hidden="false" customHeight="true" outlineLevel="0" collapsed="false">
      <c r="A36" s="32" t="s">
        <v>273</v>
      </c>
      <c r="B36" s="33" t="s">
        <v>271</v>
      </c>
      <c r="C36" s="33" t="s">
        <v>274</v>
      </c>
      <c r="D36" s="35" t="s">
        <v>72</v>
      </c>
      <c r="E36" s="35" t="s">
        <v>151</v>
      </c>
      <c r="F36" s="35"/>
      <c r="G36" s="49" t="str">
        <f aca="false">IFERROR(INDEX('PR Plan'!$M$5:$M$19,MATCH(E36,'PR Plan'!$A$5:$A$19,0)),"-")</f>
        <v>Not started</v>
      </c>
      <c r="H36" s="49" t="str">
        <f aca="false">IFERROR(INDEX('PR Plan'!$L$5:$L$19,MATCH(E36,'PR Plan'!$A$5:$A$19,0)),"-")</f>
        <v>Day 3 - Tue Oct 13 (AM)</v>
      </c>
    </row>
    <row r="37" customFormat="false" ht="15" hidden="false" customHeight="true" outlineLevel="0" collapsed="false">
      <c r="A37" s="32" t="s">
        <v>275</v>
      </c>
      <c r="B37" s="33" t="s">
        <v>271</v>
      </c>
      <c r="C37" s="33" t="s">
        <v>276</v>
      </c>
      <c r="D37" s="35" t="s">
        <v>161</v>
      </c>
      <c r="E37" s="35" t="s">
        <v>151</v>
      </c>
      <c r="F37" s="35"/>
      <c r="G37" s="49" t="str">
        <f aca="false">IFERROR(INDEX('PR Plan'!$M$5:$M$19,MATCH(E37,'PR Plan'!$A$5:$A$19,0)),"-")</f>
        <v>Not started</v>
      </c>
      <c r="H37" s="49" t="str">
        <f aca="false">IFERROR(INDEX('PR Plan'!$L$5:$L$19,MATCH(E37,'PR Plan'!$A$5:$A$19,0)),"-")</f>
        <v>Day 3 - Tue Oct 13 (AM)</v>
      </c>
    </row>
    <row r="38" customFormat="false" ht="15" hidden="false" customHeight="true" outlineLevel="0" collapsed="false">
      <c r="A38" s="32" t="s">
        <v>277</v>
      </c>
      <c r="B38" s="33" t="s">
        <v>278</v>
      </c>
      <c r="C38" s="33" t="s">
        <v>279</v>
      </c>
      <c r="D38" s="35" t="s">
        <v>161</v>
      </c>
      <c r="E38" s="35" t="s">
        <v>158</v>
      </c>
      <c r="F38" s="35"/>
      <c r="G38" s="49" t="str">
        <f aca="false">IFERROR(INDEX('PR Plan'!$M$5:$M$19,MATCH(E38,'PR Plan'!$A$5:$A$19,0)),"-")</f>
        <v>Not started</v>
      </c>
      <c r="H38" s="49" t="str">
        <f aca="false">IFERROR(INDEX('PR Plan'!$L$5:$L$19,MATCH(E38,'PR Plan'!$A$5:$A$19,0)),"-")</f>
        <v>Stretch</v>
      </c>
    </row>
    <row r="39" customFormat="false" ht="15" hidden="false" customHeight="true" outlineLevel="0" collapsed="false">
      <c r="A39" s="32" t="s">
        <v>280</v>
      </c>
      <c r="B39" s="33" t="s">
        <v>278</v>
      </c>
      <c r="C39" s="33" t="s">
        <v>281</v>
      </c>
      <c r="D39" s="35" t="s">
        <v>161</v>
      </c>
      <c r="E39" s="35" t="s">
        <v>158</v>
      </c>
      <c r="F39" s="35" t="s">
        <v>111</v>
      </c>
      <c r="G39" s="49" t="str">
        <f aca="false">IFERROR(INDEX('PR Plan'!$M$5:$M$19,MATCH(E39,'PR Plan'!$A$5:$A$19,0)),"-")</f>
        <v>Not started</v>
      </c>
      <c r="H39" s="49" t="str">
        <f aca="false">IFERROR(INDEX('PR Plan'!$L$5:$L$19,MATCH(E39,'PR Plan'!$A$5:$A$19,0)),"-")</f>
        <v>Stretch</v>
      </c>
    </row>
    <row r="40" customFormat="false" ht="15" hidden="false" customHeight="true" outlineLevel="0" collapsed="false">
      <c r="A40" s="32" t="s">
        <v>282</v>
      </c>
      <c r="B40" s="33" t="s">
        <v>278</v>
      </c>
      <c r="C40" s="33" t="s">
        <v>283</v>
      </c>
      <c r="D40" s="35" t="s">
        <v>213</v>
      </c>
      <c r="E40" s="35" t="s">
        <v>158</v>
      </c>
      <c r="F40" s="35"/>
      <c r="G40" s="49" t="str">
        <f aca="false">IFERROR(INDEX('PR Plan'!$M$5:$M$19,MATCH(E40,'PR Plan'!$A$5:$A$19,0)),"-")</f>
        <v>Not started</v>
      </c>
      <c r="H40" s="49" t="str">
        <f aca="false">IFERROR(INDEX('PR Plan'!$L$5:$L$19,MATCH(E40,'PR Plan'!$A$5:$A$19,0)),"-")</f>
        <v>Stretch</v>
      </c>
    </row>
    <row r="41" customFormat="false" ht="15" hidden="false" customHeight="true" outlineLevel="0" collapsed="false">
      <c r="A41" s="32" t="s">
        <v>284</v>
      </c>
      <c r="B41" s="33" t="s">
        <v>285</v>
      </c>
      <c r="C41" s="33" t="s">
        <v>286</v>
      </c>
      <c r="D41" s="35" t="s">
        <v>161</v>
      </c>
      <c r="E41" s="35" t="s">
        <v>182</v>
      </c>
      <c r="F41" s="35" t="s">
        <v>158</v>
      </c>
      <c r="G41" s="49" t="str">
        <f aca="false">IFERROR(INDEX('PR Plan'!$M$5:$M$19,MATCH(E41,'PR Plan'!$A$5:$A$19,0)),"-")</f>
        <v>Not started</v>
      </c>
      <c r="H41" s="49" t="str">
        <f aca="false">IFERROR(INDEX('PR Plan'!$L$5:$L$19,MATCH(E41,'PR Plan'!$A$5:$A$19,0)),"-")</f>
        <v>Day 3 - Tue Oct 13 (AM)</v>
      </c>
    </row>
    <row r="42" customFormat="false" ht="15" hidden="false" customHeight="true" outlineLevel="0" collapsed="false">
      <c r="A42" s="32" t="s">
        <v>287</v>
      </c>
      <c r="B42" s="33" t="s">
        <v>288</v>
      </c>
      <c r="C42" s="33" t="s">
        <v>289</v>
      </c>
      <c r="D42" s="35" t="s">
        <v>72</v>
      </c>
      <c r="E42" s="35" t="s">
        <v>111</v>
      </c>
      <c r="F42" s="35" t="s">
        <v>166</v>
      </c>
      <c r="G42" s="49" t="str">
        <f aca="false">IFERROR(INDEX('PR Plan'!$M$5:$M$19,MATCH(E42,'PR Plan'!$A$5:$A$19,0)),"-")</f>
        <v>Done</v>
      </c>
      <c r="H42" s="49" t="str">
        <f aca="false">IFERROR(INDEX('PR Plan'!$L$5:$L$19,MATCH(E42,'PR Plan'!$A$5:$A$19,0)),"-")</f>
        <v>Day 1 - Sun Oct 11</v>
      </c>
    </row>
    <row r="43" customFormat="false" ht="15" hidden="false" customHeight="true" outlineLevel="0" collapsed="false">
      <c r="A43" s="32" t="s">
        <v>290</v>
      </c>
      <c r="B43" s="33" t="s">
        <v>288</v>
      </c>
      <c r="C43" s="33" t="s">
        <v>291</v>
      </c>
      <c r="D43" s="35" t="s">
        <v>72</v>
      </c>
      <c r="E43" s="35" t="s">
        <v>111</v>
      </c>
      <c r="F43" s="35"/>
      <c r="G43" s="49" t="str">
        <f aca="false">IFERROR(INDEX('PR Plan'!$M$5:$M$19,MATCH(E43,'PR Plan'!$A$5:$A$19,0)),"-")</f>
        <v>Done</v>
      </c>
      <c r="H43" s="49" t="str">
        <f aca="false">IFERROR(INDEX('PR Plan'!$L$5:$L$19,MATCH(E43,'PR Plan'!$A$5:$A$19,0)),"-")</f>
        <v>Day 1 - Sun Oct 11</v>
      </c>
    </row>
    <row r="44" customFormat="false" ht="15" hidden="false" customHeight="true" outlineLevel="0" collapsed="false">
      <c r="A44" s="32" t="s">
        <v>292</v>
      </c>
      <c r="B44" s="33" t="s">
        <v>288</v>
      </c>
      <c r="C44" s="33" t="s">
        <v>293</v>
      </c>
      <c r="D44" s="35" t="s">
        <v>72</v>
      </c>
      <c r="E44" s="35" t="s">
        <v>119</v>
      </c>
      <c r="F44" s="35" t="s">
        <v>166</v>
      </c>
      <c r="G44" s="49" t="str">
        <f aca="false">IFERROR(INDEX('PR Plan'!$M$5:$M$19,MATCH(E44,'PR Plan'!$A$5:$A$19,0)),"-")</f>
        <v>Done</v>
      </c>
      <c r="H44" s="49" t="str">
        <f aca="false">IFERROR(INDEX('PR Plan'!$L$5:$L$19,MATCH(E44,'PR Plan'!$A$5:$A$19,0)),"-")</f>
        <v>Day 2 - Mon Oct 12</v>
      </c>
    </row>
    <row r="45" customFormat="false" ht="15" hidden="false" customHeight="true" outlineLevel="0" collapsed="false">
      <c r="A45" s="32" t="s">
        <v>294</v>
      </c>
      <c r="B45" s="33" t="s">
        <v>288</v>
      </c>
      <c r="C45" s="33" t="s">
        <v>295</v>
      </c>
      <c r="D45" s="35" t="s">
        <v>72</v>
      </c>
      <c r="E45" s="35" t="s">
        <v>119</v>
      </c>
      <c r="F45" s="35"/>
      <c r="G45" s="49" t="str">
        <f aca="false">IFERROR(INDEX('PR Plan'!$M$5:$M$19,MATCH(E45,'PR Plan'!$A$5:$A$19,0)),"-")</f>
        <v>Done</v>
      </c>
      <c r="H45" s="49" t="str">
        <f aca="false">IFERROR(INDEX('PR Plan'!$L$5:$L$19,MATCH(E45,'PR Plan'!$A$5:$A$19,0)),"-")</f>
        <v>Day 2 - Mon Oct 12</v>
      </c>
    </row>
    <row r="46" customFormat="false" ht="15" hidden="false" customHeight="true" outlineLevel="0" collapsed="false">
      <c r="A46" s="32" t="s">
        <v>296</v>
      </c>
      <c r="B46" s="33" t="s">
        <v>288</v>
      </c>
      <c r="C46" s="33" t="s">
        <v>297</v>
      </c>
      <c r="D46" s="35" t="s">
        <v>72</v>
      </c>
      <c r="E46" s="35" t="s">
        <v>95</v>
      </c>
      <c r="F46" s="35"/>
      <c r="G46" s="49" t="str">
        <f aca="false">IFERROR(INDEX('PR Plan'!$M$5:$M$19,MATCH(E46,'PR Plan'!$A$5:$A$19,0)),"-")</f>
        <v>Done</v>
      </c>
      <c r="H46" s="49" t="str">
        <f aca="false">IFERROR(INDEX('PR Plan'!$L$5:$L$19,MATCH(E46,'PR Plan'!$A$5:$A$19,0)),"-")</f>
        <v>Day 1 - Sun Oct 11</v>
      </c>
    </row>
    <row r="47" customFormat="false" ht="15" hidden="false" customHeight="true" outlineLevel="0" collapsed="false">
      <c r="A47" s="32" t="s">
        <v>298</v>
      </c>
      <c r="B47" s="33" t="s">
        <v>288</v>
      </c>
      <c r="C47" s="33" t="s">
        <v>299</v>
      </c>
      <c r="D47" s="35" t="s">
        <v>72</v>
      </c>
      <c r="E47" s="35" t="s">
        <v>127</v>
      </c>
      <c r="F47" s="35" t="s">
        <v>166</v>
      </c>
      <c r="G47" s="49" t="str">
        <f aca="false">IFERROR(INDEX('PR Plan'!$M$5:$M$19,MATCH(E47,'PR Plan'!$A$5:$A$19,0)),"-")</f>
        <v>Done</v>
      </c>
      <c r="H47" s="49" t="str">
        <f aca="false">IFERROR(INDEX('PR Plan'!$L$5:$L$19,MATCH(E47,'PR Plan'!$A$5:$A$19,0)),"-")</f>
        <v>Day 2 - Mon Oct 12</v>
      </c>
    </row>
    <row r="48" customFormat="false" ht="15" hidden="false" customHeight="true" outlineLevel="0" collapsed="false">
      <c r="A48" s="32" t="s">
        <v>300</v>
      </c>
      <c r="B48" s="33" t="s">
        <v>301</v>
      </c>
      <c r="C48" s="33" t="s">
        <v>302</v>
      </c>
      <c r="D48" s="35" t="s">
        <v>72</v>
      </c>
      <c r="E48" s="35" t="s">
        <v>135</v>
      </c>
      <c r="F48" s="35" t="s">
        <v>69</v>
      </c>
      <c r="G48" s="49" t="str">
        <f aca="false">IFERROR(INDEX('PR Plan'!$M$5:$M$19,MATCH(E48,'PR Plan'!$A$5:$A$19,0)),"-")</f>
        <v>Not started</v>
      </c>
      <c r="H48" s="49" t="str">
        <f aca="false">IFERROR(INDEX('PR Plan'!$L$5:$L$19,MATCH(E48,'PR Plan'!$A$5:$A$19,0)),"-")</f>
        <v>Day 2 - Mon Oct 12</v>
      </c>
    </row>
    <row r="49" customFormat="false" ht="15" hidden="false" customHeight="true" outlineLevel="0" collapsed="false">
      <c r="A49" s="32" t="s">
        <v>303</v>
      </c>
      <c r="B49" s="33" t="s">
        <v>301</v>
      </c>
      <c r="C49" s="33" t="s">
        <v>304</v>
      </c>
      <c r="D49" s="35" t="s">
        <v>72</v>
      </c>
      <c r="E49" s="35" t="s">
        <v>79</v>
      </c>
      <c r="F49" s="35"/>
      <c r="G49" s="49" t="str">
        <f aca="false">IFERROR(INDEX('PR Plan'!$M$5:$M$19,MATCH(E49,'PR Plan'!$A$5:$A$19,0)),"-")</f>
        <v>Done</v>
      </c>
      <c r="H49" s="49" t="str">
        <f aca="false">IFERROR(INDEX('PR Plan'!$L$5:$L$19,MATCH(E49,'PR Plan'!$A$5:$A$19,0)),"-")</f>
        <v>Day 1 - Sun Oct 11</v>
      </c>
    </row>
    <row r="50" customFormat="false" ht="15" hidden="false" customHeight="true" outlineLevel="0" collapsed="false">
      <c r="A50" s="32" t="s">
        <v>305</v>
      </c>
      <c r="B50" s="33" t="s">
        <v>301</v>
      </c>
      <c r="C50" s="33" t="s">
        <v>306</v>
      </c>
      <c r="D50" s="35" t="s">
        <v>72</v>
      </c>
      <c r="E50" s="35" t="s">
        <v>119</v>
      </c>
      <c r="F50" s="35"/>
      <c r="G50" s="49" t="str">
        <f aca="false">IFERROR(INDEX('PR Plan'!$M$5:$M$19,MATCH(E50,'PR Plan'!$A$5:$A$19,0)),"-")</f>
        <v>Done</v>
      </c>
      <c r="H50" s="49" t="str">
        <f aca="false">IFERROR(INDEX('PR Plan'!$L$5:$L$19,MATCH(E50,'PR Plan'!$A$5:$A$19,0)),"-")</f>
        <v>Day 2 - Mon Oct 12</v>
      </c>
    </row>
    <row r="51" customFormat="false" ht="15" hidden="false" customHeight="true" outlineLevel="0" collapsed="false">
      <c r="A51" s="32" t="s">
        <v>307</v>
      </c>
      <c r="B51" s="33" t="s">
        <v>301</v>
      </c>
      <c r="C51" s="33" t="s">
        <v>308</v>
      </c>
      <c r="D51" s="35" t="s">
        <v>72</v>
      </c>
      <c r="E51" s="35" t="s">
        <v>111</v>
      </c>
      <c r="F51" s="35" t="s">
        <v>166</v>
      </c>
      <c r="G51" s="49" t="str">
        <f aca="false">IFERROR(INDEX('PR Plan'!$M$5:$M$19,MATCH(E51,'PR Plan'!$A$5:$A$19,0)),"-")</f>
        <v>Done</v>
      </c>
      <c r="H51" s="49" t="str">
        <f aca="false">IFERROR(INDEX('PR Plan'!$L$5:$L$19,MATCH(E51,'PR Plan'!$A$5:$A$19,0)),"-")</f>
        <v>Day 1 - Sun Oct 11</v>
      </c>
    </row>
    <row r="52" customFormat="false" ht="15" hidden="false" customHeight="true" outlineLevel="0" collapsed="false">
      <c r="A52" s="32" t="s">
        <v>309</v>
      </c>
      <c r="B52" s="33" t="s">
        <v>301</v>
      </c>
      <c r="C52" s="33" t="s">
        <v>310</v>
      </c>
      <c r="D52" s="35" t="s">
        <v>161</v>
      </c>
      <c r="E52" s="35" t="s">
        <v>111</v>
      </c>
      <c r="F52" s="35"/>
      <c r="G52" s="49" t="str">
        <f aca="false">IFERROR(INDEX('PR Plan'!$M$5:$M$19,MATCH(E52,'PR Plan'!$A$5:$A$19,0)),"-")</f>
        <v>Done</v>
      </c>
      <c r="H52" s="49" t="str">
        <f aca="false">IFERROR(INDEX('PR Plan'!$L$5:$L$19,MATCH(E52,'PR Plan'!$A$5:$A$19,0)),"-")</f>
        <v>Day 1 - Sun Oct 11</v>
      </c>
    </row>
    <row r="53" customFormat="false" ht="15" hidden="false" customHeight="true" outlineLevel="0" collapsed="false">
      <c r="A53" s="32" t="s">
        <v>311</v>
      </c>
      <c r="B53" s="33" t="s">
        <v>301</v>
      </c>
      <c r="C53" s="33" t="s">
        <v>312</v>
      </c>
      <c r="D53" s="35" t="s">
        <v>213</v>
      </c>
      <c r="E53" s="35" t="s">
        <v>166</v>
      </c>
      <c r="F53" s="35"/>
      <c r="G53" s="49" t="str">
        <f aca="false">IFERROR(INDEX('PR Plan'!$M$5:$M$19,MATCH(E53,'PR Plan'!$A$5:$A$19,0)),"-")</f>
        <v>Not started</v>
      </c>
      <c r="H53" s="49" t="str">
        <f aca="false">IFERROR(INDEX('PR Plan'!$L$5:$L$19,MATCH(E53,'PR Plan'!$A$5:$A$19,0)),"-")</f>
        <v>Day 3 - Tue Oct 13 (AM)</v>
      </c>
    </row>
    <row r="54" customFormat="false" ht="15" hidden="false" customHeight="true" outlineLevel="0" collapsed="false">
      <c r="A54" s="32" t="s">
        <v>313</v>
      </c>
      <c r="B54" s="33" t="s">
        <v>285</v>
      </c>
      <c r="C54" s="33" t="s">
        <v>314</v>
      </c>
      <c r="D54" s="35" t="s">
        <v>161</v>
      </c>
      <c r="E54" s="35" t="s">
        <v>182</v>
      </c>
      <c r="F54" s="35" t="s">
        <v>144</v>
      </c>
      <c r="G54" s="49" t="str">
        <f aca="false">IFERROR(INDEX('PR Plan'!$M$5:$M$19,MATCH(E54,'PR Plan'!$A$5:$A$19,0)),"-")</f>
        <v>Not started</v>
      </c>
      <c r="H54" s="49" t="str">
        <f aca="false">IFERROR(INDEX('PR Plan'!$L$5:$L$19,MATCH(E54,'PR Plan'!$A$5:$A$19,0)),"-")</f>
        <v>Day 3 - Tue Oct 13 (AM)</v>
      </c>
    </row>
  </sheetData>
  <autoFilter ref="A4:H54"/>
  <conditionalFormatting sqref="G5:G54">
    <cfRule type="cellIs" priority="2" operator="equal" aboveAverage="0" equalAverage="0" bottom="0" percent="0" rank="0" text="" dxfId="18">
      <formula>"Done"</formula>
    </cfRule>
    <cfRule type="cellIs" priority="3" operator="equal" aboveAverage="0" equalAverage="0" bottom="0" percent="0" rank="0" text="" dxfId="19">
      <formula>"In progress"</formula>
    </cfRule>
    <cfRule type="cellIs" priority="4" operator="equal" aboveAverage="0" equalAverage="0" bottom="0" percent="0" rank="0" text="" dxfId="20">
      <formula>"In review"</formula>
    </cfRule>
    <cfRule type="cellIs" priority="5" operator="equal" aboveAverage="0" equalAverage="0" bottom="0" percent="0" rank="0" text="" dxfId="21">
      <formula>"Blocked"</formula>
    </cfRule>
  </conditionalFormatting>
  <conditionalFormatting sqref="D5:D54">
    <cfRule type="cellIs" priority="6" operator="equal" aboveAverage="0" equalAverage="0" bottom="0" percent="0" rank="0" text="" dxfId="22">
      <formula>"Must"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0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8"/>
  </cols>
  <sheetData>
    <row r="1" customFormat="false" ht="19.5" hidden="false" customHeight="true" outlineLevel="0" collapsed="false">
      <c r="A1" s="2" t="s">
        <v>315</v>
      </c>
    </row>
    <row r="2" customFormat="false" ht="15" hidden="false" customHeight="true" outlineLevel="0" collapsed="false">
      <c r="A2" s="3" t="s">
        <v>316</v>
      </c>
    </row>
    <row r="4" customFormat="false" ht="30" hidden="false" customHeight="true" outlineLevel="0" collapsed="false">
      <c r="A4" s="31" t="s">
        <v>317</v>
      </c>
      <c r="B4" s="31" t="s">
        <v>318</v>
      </c>
      <c r="C4" s="31" t="s">
        <v>319</v>
      </c>
      <c r="D4" s="31" t="s">
        <v>320</v>
      </c>
      <c r="E4" s="31" t="s">
        <v>321</v>
      </c>
      <c r="F4" s="31" t="s">
        <v>322</v>
      </c>
      <c r="G4" s="31" t="s">
        <v>323</v>
      </c>
    </row>
    <row r="5" customFormat="false" ht="48" hidden="false" customHeight="true" outlineLevel="0" collapsed="false">
      <c r="A5" s="32" t="s">
        <v>324</v>
      </c>
      <c r="B5" s="35" t="s">
        <v>325</v>
      </c>
      <c r="C5" s="50" t="s">
        <v>326</v>
      </c>
      <c r="D5" s="33" t="s">
        <v>327</v>
      </c>
      <c r="E5" s="33" t="s">
        <v>328</v>
      </c>
      <c r="F5" s="33" t="s">
        <v>329</v>
      </c>
      <c r="G5" s="35" t="s">
        <v>119</v>
      </c>
    </row>
    <row r="6" customFormat="false" ht="48" hidden="false" customHeight="true" outlineLevel="0" collapsed="false">
      <c r="A6" s="32" t="s">
        <v>330</v>
      </c>
      <c r="B6" s="35" t="s">
        <v>331</v>
      </c>
      <c r="C6" s="50" t="s">
        <v>332</v>
      </c>
      <c r="D6" s="33" t="s">
        <v>333</v>
      </c>
      <c r="E6" s="33" t="s">
        <v>334</v>
      </c>
      <c r="F6" s="33" t="s">
        <v>335</v>
      </c>
      <c r="G6" s="35" t="s">
        <v>111</v>
      </c>
    </row>
    <row r="7" customFormat="false" ht="48" hidden="false" customHeight="true" outlineLevel="0" collapsed="false">
      <c r="A7" s="32" t="s">
        <v>336</v>
      </c>
      <c r="B7" s="35" t="s">
        <v>337</v>
      </c>
      <c r="C7" s="50" t="s">
        <v>338</v>
      </c>
      <c r="D7" s="33" t="s">
        <v>339</v>
      </c>
      <c r="E7" s="33" t="s">
        <v>340</v>
      </c>
      <c r="F7" s="33" t="s">
        <v>341</v>
      </c>
      <c r="G7" s="35" t="s">
        <v>103</v>
      </c>
    </row>
    <row r="8" customFormat="false" ht="48" hidden="false" customHeight="true" outlineLevel="0" collapsed="false">
      <c r="A8" s="32" t="s">
        <v>342</v>
      </c>
      <c r="B8" s="35" t="s">
        <v>343</v>
      </c>
      <c r="C8" s="50" t="s">
        <v>344</v>
      </c>
      <c r="D8" s="33" t="s">
        <v>345</v>
      </c>
      <c r="E8" s="33" t="s">
        <v>346</v>
      </c>
      <c r="F8" s="33" t="s">
        <v>347</v>
      </c>
      <c r="G8" s="35" t="s">
        <v>95</v>
      </c>
    </row>
    <row r="9" customFormat="false" ht="48" hidden="false" customHeight="true" outlineLevel="0" collapsed="false">
      <c r="A9" s="32" t="s">
        <v>348</v>
      </c>
      <c r="B9" s="35" t="s">
        <v>349</v>
      </c>
      <c r="C9" s="50" t="s">
        <v>350</v>
      </c>
      <c r="D9" s="33" t="s">
        <v>351</v>
      </c>
      <c r="E9" s="33" t="s">
        <v>352</v>
      </c>
      <c r="F9" s="33" t="s">
        <v>353</v>
      </c>
      <c r="G9" s="35" t="s">
        <v>79</v>
      </c>
    </row>
    <row r="10" customFormat="false" ht="48" hidden="false" customHeight="true" outlineLevel="0" collapsed="false">
      <c r="A10" s="32" t="s">
        <v>354</v>
      </c>
      <c r="B10" s="35" t="s">
        <v>355</v>
      </c>
      <c r="C10" s="50" t="s">
        <v>356</v>
      </c>
      <c r="D10" s="33" t="s">
        <v>357</v>
      </c>
      <c r="E10" s="33" t="s">
        <v>358</v>
      </c>
      <c r="F10" s="33" t="s">
        <v>359</v>
      </c>
      <c r="G10" s="35" t="s">
        <v>119</v>
      </c>
    </row>
    <row r="11" customFormat="false" ht="48" hidden="false" customHeight="true" outlineLevel="0" collapsed="false">
      <c r="A11" s="32" t="s">
        <v>360</v>
      </c>
      <c r="B11" s="35" t="s">
        <v>34</v>
      </c>
      <c r="C11" s="50" t="s">
        <v>361</v>
      </c>
      <c r="D11" s="33" t="s">
        <v>362</v>
      </c>
      <c r="E11" s="33" t="s">
        <v>363</v>
      </c>
      <c r="F11" s="33" t="s">
        <v>364</v>
      </c>
      <c r="G11" s="35" t="s">
        <v>135</v>
      </c>
    </row>
    <row r="12" customFormat="false" ht="48" hidden="false" customHeight="true" outlineLevel="0" collapsed="false">
      <c r="A12" s="32" t="s">
        <v>365</v>
      </c>
      <c r="B12" s="35" t="s">
        <v>366</v>
      </c>
      <c r="C12" s="50" t="s">
        <v>367</v>
      </c>
      <c r="D12" s="33" t="s">
        <v>368</v>
      </c>
      <c r="E12" s="33" t="s">
        <v>369</v>
      </c>
      <c r="F12" s="33" t="s">
        <v>370</v>
      </c>
      <c r="G12" s="35" t="s">
        <v>111</v>
      </c>
    </row>
    <row r="13" customFormat="false" ht="48" hidden="false" customHeight="true" outlineLevel="0" collapsed="false">
      <c r="A13" s="32" t="s">
        <v>371</v>
      </c>
      <c r="B13" s="35" t="s">
        <v>372</v>
      </c>
      <c r="C13" s="50" t="s">
        <v>373</v>
      </c>
      <c r="D13" s="33" t="s">
        <v>374</v>
      </c>
      <c r="E13" s="33" t="s">
        <v>375</v>
      </c>
      <c r="F13" s="33" t="s">
        <v>376</v>
      </c>
      <c r="G13" s="35" t="s">
        <v>111</v>
      </c>
    </row>
    <row r="14" customFormat="false" ht="48" hidden="false" customHeight="true" outlineLevel="0" collapsed="false">
      <c r="A14" s="32" t="s">
        <v>377</v>
      </c>
      <c r="B14" s="35" t="s">
        <v>378</v>
      </c>
      <c r="C14" s="50" t="s">
        <v>379</v>
      </c>
      <c r="D14" s="33" t="s">
        <v>380</v>
      </c>
      <c r="E14" s="33" t="s">
        <v>381</v>
      </c>
      <c r="F14" s="33" t="s">
        <v>382</v>
      </c>
      <c r="G14" s="35" t="s">
        <v>79</v>
      </c>
    </row>
    <row r="15" customFormat="false" ht="48" hidden="false" customHeight="true" outlineLevel="0" collapsed="false">
      <c r="A15" s="32" t="s">
        <v>383</v>
      </c>
      <c r="B15" s="35" t="s">
        <v>384</v>
      </c>
      <c r="C15" s="50" t="s">
        <v>385</v>
      </c>
      <c r="D15" s="33" t="s">
        <v>386</v>
      </c>
      <c r="E15" s="33" t="s">
        <v>387</v>
      </c>
      <c r="F15" s="33" t="s">
        <v>388</v>
      </c>
      <c r="G15" s="35" t="s">
        <v>79</v>
      </c>
    </row>
    <row r="16" customFormat="false" ht="48" hidden="false" customHeight="true" outlineLevel="0" collapsed="false">
      <c r="A16" s="32" t="s">
        <v>389</v>
      </c>
      <c r="B16" s="35" t="s">
        <v>390</v>
      </c>
      <c r="C16" s="50" t="s">
        <v>391</v>
      </c>
      <c r="D16" s="33" t="s">
        <v>392</v>
      </c>
      <c r="E16" s="33" t="s">
        <v>393</v>
      </c>
      <c r="F16" s="33" t="s">
        <v>394</v>
      </c>
      <c r="G16" s="35" t="s">
        <v>69</v>
      </c>
    </row>
    <row r="17" customFormat="false" ht="48" hidden="false" customHeight="true" outlineLevel="0" collapsed="false">
      <c r="A17" s="32" t="s">
        <v>395</v>
      </c>
      <c r="B17" s="35" t="s">
        <v>396</v>
      </c>
      <c r="C17" s="50" t="s">
        <v>397</v>
      </c>
      <c r="D17" s="33" t="s">
        <v>398</v>
      </c>
      <c r="E17" s="33" t="s">
        <v>399</v>
      </c>
      <c r="F17" s="33" t="s">
        <v>400</v>
      </c>
      <c r="G17" s="35" t="s">
        <v>103</v>
      </c>
    </row>
    <row r="18" customFormat="false" ht="48" hidden="false" customHeight="true" outlineLevel="0" collapsed="false">
      <c r="A18" s="32" t="s">
        <v>401</v>
      </c>
      <c r="B18" s="35" t="s">
        <v>402</v>
      </c>
      <c r="C18" s="50" t="s">
        <v>403</v>
      </c>
      <c r="D18" s="33" t="s">
        <v>404</v>
      </c>
      <c r="E18" s="33" t="s">
        <v>405</v>
      </c>
      <c r="F18" s="33" t="s">
        <v>406</v>
      </c>
      <c r="G18" s="35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2026-10-11T12:57:37Z</dcterms:created>
  <dc:creator>openpyxl</dc:creator>
  <dc:description/>
  <dc:language>en-EG</dc:language>
  <cp:lastModifiedBy/>
  <dcterms:modified xsi:type="dcterms:W3CDTF">2026-10-12T07:26:02Z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